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sravs\OneDrive\Desktop\Projects\Excel Projects\"/>
    </mc:Choice>
  </mc:AlternateContent>
  <xr:revisionPtr revIDLastSave="0" documentId="13_ncr:1_{98CA5098-F202-4F95-A6B6-6D03B4E4B157}" xr6:coauthVersionLast="47" xr6:coauthVersionMax="47" xr10:uidLastSave="{00000000-0000-0000-0000-000000000000}"/>
  <bookViews>
    <workbookView xWindow="-108" yWindow="-108" windowWidth="23256" windowHeight="12576" firstSheet="1" activeTab="1" xr2:uid="{346724B3-1C49-40AE-AA36-C77CF5D6DD09}"/>
  </bookViews>
  <sheets>
    <sheet name="Pivots" sheetId="5" r:id="rId1"/>
    <sheet name="DashboardDisplay" sheetId="6" r:id="rId2"/>
    <sheet name="Pivots2" sheetId="7" r:id="rId3"/>
    <sheet name="Pivots3" sheetId="8" r:id="rId4"/>
    <sheet name="Pivots4" sheetId="9" r:id="rId5"/>
    <sheet name="Pivots6" sheetId="11" r:id="rId6"/>
    <sheet name="Pivots7" sheetId="12" r:id="rId7"/>
    <sheet name="Pivots5" sheetId="13" r:id="rId8"/>
    <sheet name="Data" sheetId="1" r:id="rId9"/>
    <sheet name="Questions &amp; KPIs" sheetId="2" r:id="rId10"/>
    <sheet name="Dashboard" sheetId="3" r:id="rId11"/>
    <sheet name="Logo &amp; Colors" sheetId="4" r:id="rId12"/>
  </sheets>
  <definedNames>
    <definedName name="_xlchart.v5.0" hidden="1">Pivots5!$L$3:$M$3</definedName>
    <definedName name="_xlchart.v5.1" hidden="1">Pivots5!$L$4:$M$61</definedName>
    <definedName name="_xlchart.v5.2" hidden="1">Pivots5!$N$3</definedName>
    <definedName name="_xlchart.v5.3" hidden="1">Pivots5!$N$4:$N$61</definedName>
    <definedName name="_xlchart.v5.4" hidden="1">Pivots5!$G$3:$H$3</definedName>
    <definedName name="_xlchart.v5.5" hidden="1">Pivots5!$G$4:$H$61</definedName>
    <definedName name="_xlchart.v5.6" hidden="1">Pivots5!$I$3</definedName>
    <definedName name="_xlchart.v5.7" hidden="1">Pivots5!$I$4:$I$61</definedName>
    <definedName name="Slicer_Gender_Value">#N/A</definedName>
    <definedName name="Slicer_Order_Mode">#N/A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7" l="1"/>
  <c r="K4" i="7"/>
  <c r="L4" i="7"/>
  <c r="I4" i="7"/>
  <c r="I5" i="7"/>
  <c r="J5" i="7"/>
  <c r="K5" i="7"/>
  <c r="L5" i="7"/>
  <c r="I6" i="7"/>
  <c r="J6" i="7"/>
  <c r="K6" i="7"/>
  <c r="L6" i="7"/>
  <c r="I7" i="7"/>
  <c r="J7" i="7"/>
  <c r="K7" i="7"/>
  <c r="L7" i="7"/>
  <c r="I8" i="7"/>
  <c r="J8" i="7"/>
  <c r="K8" i="7"/>
  <c r="L8" i="7"/>
  <c r="I9" i="7"/>
  <c r="J9" i="7"/>
  <c r="K9" i="7"/>
  <c r="L9" i="7"/>
  <c r="H6" i="7"/>
  <c r="H7" i="7"/>
  <c r="H8" i="7"/>
  <c r="H9" i="7"/>
  <c r="H5" i="7"/>
  <c r="K4" i="5"/>
  <c r="J4" i="5"/>
  <c r="I4" i="5"/>
  <c r="H4" i="5"/>
  <c r="G4"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<sst xmlns="http://schemas.openxmlformats.org/spreadsheetml/2006/main" count="14911" uniqueCount="2579">
  <si>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</si>
  <si>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</si>
  <si>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</si>
  <si>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</si>
  <si>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</si>
  <si>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</si>
  <si>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</si>
  <si>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</si>
  <si>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</si>
  <si>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</si>
  <si>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</si>
  <si>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</si>
  <si>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</si>
  <si>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</si>
  <si>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</si>
  <si>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</si>
  <si>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</si>
  <si>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</si>
  <si>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</si>
  <si>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</si>
  <si>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</si>
  <si>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</si>
  <si>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</si>
  <si>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</si>
  <si>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</si>
  <si>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</si>
  <si>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</si>
  <si>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</si>
  <si>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</si>
  <si>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</si>
  <si>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</si>
  <si>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</si>
  <si>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</si>
  <si>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</si>
  <si>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</si>
  <si>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</si>
  <si>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</si>
  <si>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</si>
  <si>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</si>
  <si>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</si>
  <si>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</si>
  <si>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</si>
  <si>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</si>
  <si>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</si>
  <si>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</si>
  <si>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</si>
  <si>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</si>
  <si>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</si>
  <si>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</si>
  <si>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</si>
  <si>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</si>
  <si>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</si>
  <si>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</si>
  <si>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</si>
  <si>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</si>
  <si>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</si>
  <si>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</si>
  <si>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</si>
  <si>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</si>
  <si>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</si>
  <si>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</si>
  <si>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</si>
  <si>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</si>
  <si>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</si>
  <si>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</si>
  <si>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</si>
  <si>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</si>
  <si>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</si>
  <si>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</si>
  <si>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</si>
  <si>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</si>
  <si>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</si>
  <si>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</si>
  <si>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</si>
  <si>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</si>
  <si>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</si>
  <si>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</si>
  <si>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</si>
  <si>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</si>
  <si>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</si>
  <si>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</si>
  <si>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</si>
  <si>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</si>
  <si>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</si>
  <si>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</si>
  <si>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</si>
  <si>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</si>
  <si>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</si>
  <si>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</si>
  <si>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</si>
  <si>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</si>
  <si>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</si>
  <si>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</si>
  <si>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</si>
  <si>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</si>
  <si>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</si>
  <si>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</si>
  <si>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</si>
  <si>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</si>
  <si>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</si>
  <si>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</si>
  <si>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</si>
  <si>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</si>
  <si>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</si>
  <si>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</si>
  <si>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</si>
  <si>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</si>
  <si>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</si>
  <si>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</si>
  <si>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</si>
  <si>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</si>
  <si>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</si>
  <si>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</si>
  <si>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</si>
  <si>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</si>
  <si>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</si>
  <si>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</si>
  <si>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</si>
  <si>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</si>
  <si>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</si>
  <si>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</si>
  <si>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</si>
  <si>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</si>
  <si>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</si>
  <si>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</si>
  <si>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</si>
  <si>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</si>
  <si>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</si>
  <si>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</si>
  <si>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</si>
  <si>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</si>
  <si>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</si>
  <si>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</si>
  <si>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</si>
  <si>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</si>
  <si>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</si>
  <si>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</si>
  <si>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</si>
  <si>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</si>
  <si>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</si>
  <si>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</si>
  <si>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</si>
  <si>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</si>
  <si>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</si>
  <si>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</si>
  <si>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</si>
  <si>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</si>
  <si>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</si>
  <si>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</si>
  <si>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</si>
  <si>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</si>
  <si>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</si>
  <si>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</si>
  <si>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</si>
  <si>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</si>
  <si>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</si>
  <si>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</si>
  <si>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</si>
  <si>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</si>
  <si>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</si>
  <si>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</si>
  <si>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</si>
  <si>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</si>
  <si>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</si>
  <si>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</si>
  <si>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</si>
  <si>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</si>
  <si>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</si>
  <si>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</si>
  <si>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</si>
  <si>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</si>
  <si>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</si>
  <si>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</si>
  <si>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</si>
  <si>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</si>
  <si>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</si>
  <si>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</si>
  <si>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</si>
  <si>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</si>
  <si>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</si>
  <si>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</si>
  <si>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</si>
  <si>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</si>
  <si>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</si>
  <si>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</si>
  <si>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</si>
  <si>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</si>
  <si>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</si>
  <si>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</si>
  <si>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</si>
  <si>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</si>
  <si>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</si>
  <si>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</si>
  <si>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</si>
  <si>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</si>
  <si>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</si>
  <si>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</si>
  <si>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</si>
  <si>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</si>
  <si>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</si>
  <si>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</si>
  <si>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</si>
  <si>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</si>
  <si>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</si>
  <si>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</si>
  <si>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</si>
  <si>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</si>
  <si>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</si>
  <si>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</si>
  <si>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</si>
  <si>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</si>
  <si>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</si>
  <si>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</si>
  <si>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</si>
  <si>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</si>
  <si>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</si>
  <si>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</si>
  <si>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</si>
  <si>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</si>
  <si>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</si>
  <si>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</si>
  <si>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</si>
  <si>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</si>
  <si>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</si>
  <si>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</si>
  <si>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</si>
  <si>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</si>
  <si>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</si>
  <si>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</si>
  <si>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</si>
  <si>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</si>
  <si>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</si>
  <si>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</si>
  <si>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</si>
  <si>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</si>
  <si>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</si>
  <si>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</si>
  <si>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</si>
  <si>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</si>
  <si>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</si>
  <si>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</si>
  <si>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</si>
  <si>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</si>
  <si>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</si>
  <si>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</si>
  <si>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</si>
  <si>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</si>
  <si>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</si>
  <si>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</si>
  <si>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</si>
  <si>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</si>
  <si>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</si>
  <si>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</si>
  <si>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</si>
  <si>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</si>
  <si>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</si>
  <si>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</si>
  <si>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</si>
  <si>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</si>
  <si>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</si>
  <si>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</si>
  <si>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</si>
  <si>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</si>
  <si>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</si>
  <si>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</si>
  <si>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</si>
  <si>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</si>
  <si>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</si>
  <si>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</si>
  <si>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</si>
  <si>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</si>
  <si>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</si>
  <si>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</si>
  <si>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</si>
  <si>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</si>
  <si>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</si>
  <si>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</si>
  <si>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</si>
  <si>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</si>
  <si>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</si>
  <si>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</si>
  <si>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</si>
  <si>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</si>
  <si>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</si>
  <si>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</si>
  <si>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</si>
  <si>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</si>
  <si>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</si>
  <si>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</si>
  <si>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</si>
  <si>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</si>
  <si>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</si>
  <si>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</si>
  <si>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</si>
  <si>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</si>
  <si>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</si>
  <si>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</si>
  <si>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</si>
  <si>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</si>
  <si>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</si>
  <si>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</si>
  <si>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</si>
  <si>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</si>
  <si>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</si>
  <si>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</si>
  <si>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</si>
  <si>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</si>
  <si>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</si>
  <si>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</si>
  <si>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</si>
  <si>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</si>
  <si>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</si>
  <si>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</si>
  <si>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</si>
  <si>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</si>
  <si>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</si>
  <si>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</si>
  <si>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</si>
  <si>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</si>
  <si>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</si>
  <si>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</si>
  <si>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</si>
  <si>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</si>
  <si>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</si>
  <si>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</si>
  <si>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</si>
  <si>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</si>
  <si>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</si>
  <si>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</si>
  <si>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</si>
  <si>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</si>
  <si>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</si>
  <si>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</si>
  <si>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</si>
  <si>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</si>
  <si>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</si>
  <si>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</si>
  <si>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</si>
  <si>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</si>
  <si>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</si>
  <si>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</si>
  <si>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</si>
  <si>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</si>
  <si>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</si>
  <si>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</si>
  <si>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</si>
  <si>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</si>
  <si>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</si>
  <si>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</si>
  <si>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</si>
  <si>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</si>
  <si>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</si>
  <si>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</si>
  <si>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</si>
  <si>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</si>
  <si>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</si>
  <si>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</si>
  <si>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</si>
  <si>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</si>
  <si>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</si>
  <si>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</si>
  <si>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</si>
  <si>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</si>
  <si>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</si>
  <si>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</si>
  <si>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</si>
  <si>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</si>
  <si>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</si>
  <si>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</si>
  <si>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</si>
  <si>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</si>
  <si>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</si>
  <si>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</si>
  <si>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</si>
  <si>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</si>
  <si>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</si>
  <si>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</si>
  <si>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</si>
  <si>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</si>
  <si>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</si>
  <si>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</si>
  <si>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</si>
  <si>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</si>
  <si>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</si>
  <si>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</si>
  <si>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</si>
  <si>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</si>
  <si>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</si>
  <si>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</si>
  <si>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</si>
  <si>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</si>
  <si>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</si>
  <si>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</si>
  <si>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</si>
  <si>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</si>
  <si>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</si>
  <si>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</si>
  <si>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</si>
  <si>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</si>
  <si>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</si>
  <si>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</si>
  <si>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</si>
  <si>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</si>
  <si>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</si>
  <si>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</si>
  <si>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</si>
  <si>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</si>
  <si>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</si>
  <si>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</si>
  <si>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</si>
  <si>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</si>
  <si>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</si>
  <si>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</si>
  <si>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</si>
  <si>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</si>
  <si>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</si>
  <si>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</si>
  <si>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</si>
  <si>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</si>
  <si>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</si>
  <si>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</si>
  <si>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</si>
  <si>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</si>
  <si>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</si>
  <si>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</si>
  <si>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</si>
  <si>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</si>
  <si>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</si>
  <si>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</si>
  <si>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</si>
  <si>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</si>
  <si>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</si>
  <si>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</si>
  <si>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</si>
  <si>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</si>
  <si>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</si>
  <si>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</si>
  <si>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</si>
  <si>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</si>
  <si>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</si>
  <si>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</si>
  <si>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</si>
  <si>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</si>
  <si>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</si>
  <si>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</si>
  <si>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</si>
  <si>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</si>
  <si>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</si>
  <si>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</si>
  <si>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</si>
  <si>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</si>
  <si>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</si>
  <si>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</si>
  <si>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</si>
  <si>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</si>
  <si>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</si>
  <si>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</si>
  <si>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</si>
  <si>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</si>
  <si>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</si>
  <si>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</si>
  <si>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</si>
  <si>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</si>
  <si>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</si>
  <si>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</si>
  <si>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</si>
  <si>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</si>
  <si>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</si>
  <si>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</si>
  <si>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</si>
  <si>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</si>
  <si>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</si>
  <si>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</si>
  <si>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</si>
  <si>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</si>
  <si>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</si>
  <si>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</si>
  <si>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</si>
  <si>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</si>
  <si>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</si>
  <si>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</si>
  <si>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</si>
  <si>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</si>
  <si>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</si>
  <si>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</si>
  <si>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</si>
  <si>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</si>
  <si>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</si>
  <si>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</si>
  <si>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</si>
  <si>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</si>
  <si>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</si>
  <si>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</si>
  <si>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</si>
  <si>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</si>
  <si>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</si>
  <si>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</si>
  <si>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</si>
  <si>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</si>
  <si>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</si>
  <si>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</si>
  <si>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</si>
  <si>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</si>
  <si>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</si>
  <si>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</si>
  <si>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</si>
  <si>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</si>
  <si>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</si>
  <si>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</si>
  <si>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</si>
  <si>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</si>
  <si>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</si>
  <si>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</si>
  <si>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</si>
  <si>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</si>
  <si>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</si>
  <si>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</si>
  <si>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</si>
  <si>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</si>
  <si>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</si>
  <si>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</si>
  <si>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</si>
  <si>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</si>
  <si>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</si>
  <si>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</si>
  <si>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</si>
  <si>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</si>
  <si>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</si>
  <si>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</si>
  <si>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</si>
  <si>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</si>
  <si>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</si>
  <si>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</si>
  <si>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</si>
  <si>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</si>
  <si>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</si>
  <si>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</si>
  <si>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</si>
  <si>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</si>
  <si>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</si>
  <si>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</si>
  <si>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</si>
  <si>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</si>
  <si>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</si>
  <si>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</si>
  <si>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</si>
  <si>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</si>
  <si>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</si>
  <si>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</si>
  <si>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</si>
  <si>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</si>
  <si>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</si>
  <si>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</si>
  <si>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</si>
  <si>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</si>
  <si>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</si>
  <si>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</si>
  <si>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</si>
  <si>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</si>
  <si>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</si>
  <si>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</si>
  <si>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</si>
  <si>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</si>
  <si>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</si>
  <si>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</si>
  <si>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</si>
  <si>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</si>
  <si>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</si>
  <si>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</si>
  <si>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</si>
  <si>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</si>
  <si>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</si>
  <si>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</si>
  <si>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</si>
  <si>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</si>
  <si>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</si>
  <si>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</si>
  <si>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</si>
  <si>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</si>
  <si>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</si>
  <si>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</si>
  <si>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</si>
  <si>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</si>
  <si>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</si>
  <si>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</si>
  <si>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</si>
  <si>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</si>
  <si>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</si>
  <si>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</si>
  <si>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</si>
  <si>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</si>
  <si>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</si>
  <si>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</si>
  <si>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</si>
  <si>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</si>
  <si>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</si>
  <si>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</si>
  <si>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</si>
  <si>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</si>
  <si>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</si>
  <si>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</si>
  <si>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</si>
  <si>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</si>
  <si>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</si>
  <si>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</si>
  <si>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</si>
  <si>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</si>
  <si>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</si>
  <si>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</si>
  <si>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</si>
  <si>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</si>
  <si>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</si>
  <si>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</si>
  <si>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</si>
  <si>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</si>
  <si>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</si>
  <si>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</si>
  <si>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</si>
  <si>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</si>
  <si>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</si>
  <si>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</si>
  <si>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</si>
  <si>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</si>
  <si>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</si>
  <si>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</si>
  <si>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</si>
  <si>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</si>
  <si>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</si>
  <si>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</si>
  <si>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</si>
  <si>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</si>
  <si>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</si>
  <si>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</si>
  <si>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</si>
  <si>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</si>
  <si>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</si>
  <si>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</si>
  <si>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</si>
  <si>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</si>
  <si>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</si>
  <si>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</si>
  <si>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</si>
  <si>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</si>
  <si>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</si>
  <si>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</si>
  <si>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</si>
  <si>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</si>
  <si>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</si>
  <si>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</si>
  <si>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</si>
  <si>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</si>
  <si>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</si>
  <si>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</si>
  <si>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</si>
  <si>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</si>
  <si>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</si>
  <si>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</si>
  <si>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</si>
  <si>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</si>
  <si>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</si>
  <si>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</si>
  <si>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</si>
  <si>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</si>
  <si>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</si>
  <si>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</si>
  <si>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</si>
  <si>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</si>
  <si>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</si>
  <si>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</si>
  <si>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</si>
  <si>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</si>
  <si>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</si>
  <si>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</si>
  <si>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</si>
  <si>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</si>
  <si>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</si>
  <si>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</si>
  <si>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</si>
  <si>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</si>
  <si>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</si>
  <si>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</si>
  <si>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</si>
  <si>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</si>
  <si>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</si>
  <si>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</si>
  <si>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</si>
  <si>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</si>
  <si>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</si>
  <si>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</si>
  <si>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</si>
  <si>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</si>
  <si>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</si>
  <si>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</si>
  <si>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</si>
  <si>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</si>
  <si>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</si>
  <si>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</si>
  <si>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</si>
  <si>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</si>
  <si>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</si>
  <si>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</si>
  <si>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</si>
  <si>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</si>
  <si>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</si>
  <si>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</si>
  <si>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</si>
  <si>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</si>
  <si>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</si>
  <si>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</si>
  <si>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</si>
  <si>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</si>
  <si>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</si>
  <si>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</si>
  <si>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</si>
  <si>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</si>
  <si>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</si>
  <si>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</si>
  <si>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</si>
  <si>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</si>
  <si>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</si>
  <si>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</si>
  <si>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</si>
  <si>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</si>
  <si>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</si>
  <si>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</si>
  <si>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</si>
  <si>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</si>
  <si>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</si>
  <si>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</si>
  <si>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</si>
  <si>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</si>
  <si>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</si>
  <si>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</si>
  <si>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</si>
  <si>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</si>
  <si>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</si>
  <si>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</si>
  <si>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</si>
  <si>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</si>
  <si>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</si>
  <si>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</si>
  <si>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</si>
  <si>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</si>
  <si>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</si>
  <si>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</si>
  <si>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</si>
  <si>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</si>
  <si>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</si>
  <si>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</si>
  <si>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</si>
  <si>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</si>
  <si>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</si>
  <si>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</si>
  <si>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</si>
  <si>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</si>
  <si>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</si>
  <si>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</si>
  <si>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</si>
  <si>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</si>
  <si>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</si>
  <si>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</si>
  <si>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</si>
  <si>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</si>
  <si>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</si>
  <si>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</si>
  <si>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</si>
  <si>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</si>
  <si>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</si>
  <si>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</si>
  <si>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</si>
  <si>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</si>
  <si>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</si>
  <si>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</si>
  <si>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</si>
  <si>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</si>
  <si>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</si>
  <si>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</si>
  <si>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</si>
  <si>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</si>
  <si>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</si>
  <si>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</si>
  <si>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</si>
  <si>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</si>
  <si>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</si>
  <si>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</si>
  <si>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</si>
  <si>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</si>
  <si>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</si>
  <si>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</si>
  <si>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</si>
  <si>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</si>
  <si>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</si>
  <si>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</si>
  <si>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</si>
  <si>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</si>
  <si>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</si>
  <si>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</si>
  <si>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</si>
  <si>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</si>
  <si>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</si>
  <si>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</si>
  <si>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</si>
  <si>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</si>
  <si>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</si>
  <si>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</si>
  <si>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</si>
  <si>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</si>
  <si>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</si>
  <si>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</si>
  <si>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</si>
  <si>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</si>
  <si>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</si>
  <si>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</si>
  <si>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</si>
  <si>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</si>
  <si>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</si>
  <si>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</si>
  <si>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</si>
  <si>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</si>
  <si>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</si>
  <si>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</si>
  <si>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</si>
  <si>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</si>
  <si>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</si>
  <si>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</si>
  <si>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</si>
  <si>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</si>
  <si>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</si>
  <si>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</si>
  <si>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</si>
  <si>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</si>
  <si>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</si>
  <si>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</si>
  <si>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</si>
  <si>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</si>
  <si>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</si>
  <si>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</si>
  <si>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</si>
  <si>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</si>
  <si>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</si>
  <si>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</si>
  <si>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</si>
  <si>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</si>
  <si>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</si>
  <si>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</si>
  <si>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</si>
  <si>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</si>
  <si>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</si>
  <si>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</si>
  <si>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</si>
  <si>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</si>
  <si>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</si>
  <si>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</si>
  <si>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</si>
  <si>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</si>
  <si>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</si>
  <si>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</si>
  <si>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</si>
  <si>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</si>
  <si>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</si>
  <si>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</si>
  <si>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</si>
  <si>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</si>
  <si>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</si>
  <si>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</si>
  <si>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</si>
  <si>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</si>
  <si>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</si>
  <si>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</si>
  <si>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</si>
  <si>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</si>
  <si>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</si>
  <si>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</si>
  <si>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</si>
  <si>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</si>
  <si>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</si>
  <si>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</si>
  <si>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</si>
  <si>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</si>
  <si>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</si>
  <si>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</si>
  <si>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</si>
  <si>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</si>
  <si>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</si>
  <si>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</si>
  <si>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</si>
  <si>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</si>
  <si>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</si>
  <si>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</si>
  <si>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</si>
  <si>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</si>
  <si>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</si>
  <si>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</si>
  <si>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</si>
  <si>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</si>
  <si>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</si>
  <si>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</si>
  <si>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</si>
  <si>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</si>
  <si>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</si>
  <si>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</si>
  <si>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</si>
  <si>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</si>
  <si>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</si>
  <si>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</si>
  <si>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</si>
  <si>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</si>
  <si>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</si>
  <si>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</si>
  <si>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</si>
  <si>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</si>
  <si>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</si>
  <si>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</si>
  <si>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</si>
  <si>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</si>
  <si>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</si>
  <si>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</si>
  <si>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</si>
  <si>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</si>
  <si>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</si>
  <si>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</si>
  <si>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</si>
  <si>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</si>
  <si>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</si>
  <si>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</si>
  <si>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</si>
  <si>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</si>
  <si>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</si>
  <si>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</si>
  <si>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</si>
  <si>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</si>
  <si>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</si>
  <si>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</si>
  <si>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</si>
  <si>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</si>
  <si>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</si>
  <si>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</si>
  <si>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</si>
  <si>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</si>
  <si>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</si>
  <si>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</si>
  <si>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</si>
  <si>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</si>
  <si>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</si>
  <si>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</si>
  <si>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</si>
  <si>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</si>
  <si>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</si>
  <si>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</si>
  <si>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</si>
  <si>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</si>
  <si>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</si>
  <si>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</si>
  <si>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</si>
  <si>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</si>
  <si>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</si>
  <si>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</si>
  <si>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</si>
  <si>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</si>
  <si>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</si>
  <si>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</si>
  <si>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</si>
  <si>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</si>
  <si>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</si>
  <si>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</si>
  <si>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</si>
  <si>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</si>
  <si>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</si>
  <si>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</si>
  <si>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</si>
  <si>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</si>
  <si>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</si>
  <si>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</si>
  <si>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</si>
  <si>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</si>
  <si>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</si>
  <si>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</si>
  <si>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</si>
  <si>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</si>
  <si>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</si>
  <si>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</si>
  <si>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</si>
  <si>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</si>
  <si>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</si>
  <si>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</si>
  <si>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</si>
  <si>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</si>
  <si>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</si>
  <si>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</si>
  <si>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</si>
  <si>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</si>
  <si>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</si>
  <si>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</si>
  <si>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</si>
  <si>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</si>
  <si>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</si>
  <si>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</si>
  <si>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</si>
  <si>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</si>
  <si>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</si>
  <si>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</si>
  <si>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</si>
  <si>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</si>
  <si>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</si>
  <si>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</si>
  <si>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</si>
  <si>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</si>
  <si>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</si>
  <si>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</si>
  <si>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</si>
  <si>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</si>
  <si>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</si>
  <si>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</si>
  <si>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</si>
  <si>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</si>
  <si>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</si>
  <si>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</si>
  <si>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</si>
  <si>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</si>
  <si>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</si>
  <si>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</si>
  <si>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</si>
  <si>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</si>
  <si>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</si>
  <si>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</si>
  <si>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</si>
  <si>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</si>
  <si>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</si>
  <si>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</si>
  <si>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</si>
  <si>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</si>
  <si>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</si>
  <si>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</si>
  <si>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</si>
  <si>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</si>
  <si>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</si>
  <si>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</si>
  <si>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</si>
  <si>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</si>
  <si>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</si>
  <si>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</si>
  <si>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</si>
  <si>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</si>
  <si>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</si>
  <si>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</si>
  <si>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</si>
  <si>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</si>
  <si>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</si>
  <si>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</si>
  <si>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</si>
  <si>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</si>
  <si>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</si>
  <si>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</si>
  <si>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</si>
  <si>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</si>
  <si>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</si>
  <si>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</si>
  <si>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</si>
  <si>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</si>
  <si>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</si>
  <si>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</si>
  <si>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</si>
  <si>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</si>
  <si>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</si>
  <si>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</si>
  <si>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</si>
  <si>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</si>
  <si>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</si>
  <si>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</si>
  <si>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</si>
  <si>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</si>
  <si>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</si>
  <si>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</si>
  <si>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</si>
  <si>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</si>
  <si>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</si>
  <si>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</si>
  <si>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</si>
  <si>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</si>
  <si>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</si>
  <si>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</si>
  <si>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</si>
  <si>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</si>
  <si>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</si>
  <si>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</si>
  <si>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</si>
  <si>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</si>
  <si>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</si>
  <si>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</si>
  <si>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</si>
  <si>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</si>
  <si>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</si>
  <si>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</si>
  <si>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</si>
  <si>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</si>
  <si>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</si>
  <si>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</si>
  <si>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</si>
  <si>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</si>
  <si>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</si>
  <si>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</si>
  <si>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</si>
  <si>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</si>
  <si>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</si>
  <si>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</si>
  <si>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</si>
  <si>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</si>
  <si>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</si>
  <si>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</si>
  <si>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</si>
  <si>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</si>
  <si>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</si>
  <si>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</si>
  <si>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</si>
  <si>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</si>
  <si>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</si>
  <si>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</si>
  <si>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</si>
  <si>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</si>
  <si>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</si>
  <si>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</si>
  <si>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</si>
  <si>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</si>
  <si>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</si>
  <si>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</si>
  <si>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</si>
  <si>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</si>
  <si>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</si>
  <si>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</si>
  <si>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</si>
  <si>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</si>
  <si>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</si>
  <si>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</si>
  <si>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</si>
  <si>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</si>
  <si>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</si>
  <si>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</si>
  <si>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</si>
  <si>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</si>
  <si>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</si>
  <si>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</si>
  <si>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</si>
  <si>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</si>
  <si>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</si>
  <si>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</si>
  <si>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</si>
  <si>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</si>
  <si>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</si>
  <si>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</si>
  <si>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</si>
  <si>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</si>
  <si>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</si>
  <si>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</si>
  <si>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</si>
  <si>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</si>
  <si>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</si>
  <si>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</si>
  <si>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</si>
  <si>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</si>
  <si>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</si>
  <si>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</si>
  <si>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</si>
  <si>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</si>
  <si>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</si>
  <si>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</si>
  <si>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</si>
  <si>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</si>
  <si>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</si>
  <si>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</si>
  <si>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</si>
  <si>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</si>
  <si>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</si>
  <si>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</si>
  <si>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</si>
  <si>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</si>
  <si>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</si>
  <si>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</si>
  <si>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</si>
  <si>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</si>
  <si>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</si>
  <si>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</si>
  <si>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</si>
  <si>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</si>
  <si>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</si>
  <si>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</si>
  <si>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</si>
  <si>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</si>
  <si>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</si>
  <si>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</si>
  <si>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</si>
  <si>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</si>
  <si>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</si>
  <si>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</si>
  <si>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</si>
  <si>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</si>
  <si>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</si>
  <si>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</si>
  <si>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</si>
  <si>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</si>
  <si>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</si>
  <si>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</si>
  <si>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</si>
  <si>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</si>
  <si>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</si>
  <si>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</si>
  <si>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</si>
  <si>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</si>
  <si>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</si>
  <si>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</si>
  <si>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</si>
  <si>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</si>
  <si>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</si>
  <si>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</si>
  <si>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</si>
  <si>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</si>
  <si>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</si>
  <si>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</si>
  <si>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</si>
  <si>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</si>
  <si>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</si>
  <si>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</si>
  <si>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</si>
  <si>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</si>
  <si>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</si>
  <si>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</si>
  <si>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</si>
  <si>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</si>
  <si>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</si>
  <si>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</si>
  <si>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</si>
  <si>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</si>
  <si>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</si>
  <si>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</si>
  <si>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</si>
  <si>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</si>
  <si>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</si>
  <si>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</si>
  <si>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</si>
  <si>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</si>
  <si>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</si>
  <si>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</si>
  <si>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</si>
  <si>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</si>
  <si>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</si>
  <si>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</si>
  <si>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</si>
  <si>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</si>
  <si>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</si>
  <si>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</si>
  <si>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</si>
  <si>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</si>
  <si>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</si>
  <si>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</si>
  <si>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</si>
  <si>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</si>
  <si>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</si>
  <si>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</si>
  <si>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</si>
  <si>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</si>
  <si>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</si>
  <si>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</si>
  <si>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</si>
  <si>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</si>
  <si>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</si>
  <si>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</si>
  <si>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</si>
  <si>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</si>
  <si>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</si>
  <si>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</si>
  <si>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</si>
  <si>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</si>
  <si>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</si>
  <si>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</si>
  <si>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</si>
  <si>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</si>
  <si>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</si>
  <si>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</si>
  <si>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</si>
  <si>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</si>
  <si>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</si>
  <si>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</si>
  <si>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</si>
  <si>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</si>
  <si>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</si>
  <si>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</si>
  <si>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</si>
  <si>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</si>
  <si>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</si>
  <si>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</si>
  <si>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</si>
  <si>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</si>
  <si>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</si>
  <si>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</si>
  <si>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</si>
  <si>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</si>
  <si>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</si>
  <si>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</si>
  <si>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</si>
  <si>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</si>
  <si>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</si>
  <si>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</si>
  <si>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</si>
  <si>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</si>
  <si>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</si>
  <si>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</si>
  <si>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</si>
  <si>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</si>
  <si>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</si>
  <si>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</si>
  <si>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</si>
  <si>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</si>
  <si>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</si>
  <si>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</si>
  <si>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</si>
  <si>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</si>
  <si>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</si>
  <si>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</si>
  <si>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</si>
  <si>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</si>
  <si>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</si>
  <si>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</si>
  <si>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</si>
  <si>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</si>
  <si>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</si>
  <si>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</si>
  <si>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</si>
  <si>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</si>
  <si>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</si>
  <si>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</si>
  <si>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</si>
  <si>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</si>
  <si>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</si>
  <si>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</si>
  <si>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</si>
  <si>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</si>
  <si>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</si>
  <si>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</si>
  <si>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</si>
  <si>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</si>
  <si>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</si>
  <si>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</si>
  <si>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</si>
  <si>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</si>
  <si>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</si>
  <si>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</si>
  <si>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</si>
  <si>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</si>
  <si>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</si>
  <si>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</si>
  <si>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</si>
  <si>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</si>
  <si>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</si>
  <si>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</si>
  <si>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</si>
  <si>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</si>
  <si>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</si>
  <si>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</si>
  <si>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</si>
  <si>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</si>
  <si>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</si>
  <si>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</si>
  <si>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</si>
  <si>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</si>
  <si>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</si>
  <si>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</si>
  <si>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</si>
  <si>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</si>
  <si>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</si>
  <si>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</si>
  <si>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</si>
  <si>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</si>
  <si>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</si>
  <si>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</si>
  <si>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</si>
  <si>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</si>
  <si>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</si>
  <si>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</si>
  <si>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</si>
  <si>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</si>
  <si>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</si>
  <si>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</si>
  <si>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</si>
  <si>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</si>
  <si>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</si>
  <si>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</si>
  <si>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</si>
  <si>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</si>
  <si>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</si>
  <si>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</si>
  <si>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</si>
  <si>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</si>
  <si>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</si>
  <si>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</si>
  <si>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</si>
  <si>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</si>
  <si>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</si>
  <si>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</si>
  <si>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</si>
  <si>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</si>
  <si>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</si>
  <si>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</si>
  <si>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</si>
  <si>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</si>
  <si>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</si>
  <si>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</si>
  <si>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</si>
  <si>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</si>
  <si>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</si>
  <si>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</si>
  <si>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</si>
  <si>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</si>
  <si>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</si>
  <si>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</si>
  <si>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</si>
  <si>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</si>
  <si>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</si>
  <si>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</si>
  <si>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</si>
  <si>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</si>
  <si>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</si>
  <si>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</si>
  <si>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</si>
  <si>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</si>
  <si>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</si>
  <si>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</si>
  <si>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</si>
  <si>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</si>
  <si>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</si>
  <si>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</si>
  <si>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</si>
  <si>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</si>
  <si>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</si>
  <si>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</si>
  <si>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</si>
  <si>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</si>
  <si>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</si>
  <si>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</si>
  <si>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</si>
  <si>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</si>
  <si>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</si>
  <si>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</si>
  <si>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</si>
  <si>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</si>
  <si>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</si>
  <si>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</si>
  <si>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</si>
  <si>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</si>
  <si>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</si>
  <si>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</si>
  <si>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</si>
  <si>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</si>
  <si>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</si>
  <si>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</si>
  <si>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</si>
  <si>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</si>
  <si>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</si>
  <si>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</si>
  <si>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</si>
  <si>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</si>
  <si>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</si>
  <si>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</si>
  <si>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</si>
  <si>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</si>
  <si>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</si>
  <si>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</si>
  <si>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</si>
  <si>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</si>
  <si>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</si>
  <si>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</si>
  <si>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</si>
  <si>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</si>
  <si>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</si>
  <si>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</si>
  <si>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</si>
  <si>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</si>
  <si>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</si>
  <si>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</si>
  <si>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</si>
  <si>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</si>
  <si>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</si>
  <si>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</si>
  <si>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</si>
  <si>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</si>
  <si>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</si>
  <si>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</si>
  <si>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</si>
  <si>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</si>
  <si>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</si>
  <si>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</si>
  <si>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</si>
  <si>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</si>
  <si>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</si>
  <si>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</si>
  <si>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</si>
  <si>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</si>
  <si>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</si>
  <si>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</si>
  <si>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</si>
  <si>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</si>
  <si>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</si>
  <si>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</si>
  <si>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</si>
  <si>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</si>
  <si>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</si>
  <si>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</si>
  <si>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</si>
  <si>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</si>
  <si>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</si>
  <si>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</si>
  <si>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</si>
  <si>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</si>
  <si>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</si>
  <si>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</si>
  <si>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</si>
  <si>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</si>
  <si>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</si>
  <si>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</si>
  <si>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</si>
  <si>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</si>
  <si>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</si>
  <si>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</si>
  <si>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</si>
  <si>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</si>
  <si>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</si>
  <si>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</si>
  <si>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</si>
  <si>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</si>
  <si>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</si>
  <si>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</si>
  <si>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</si>
  <si>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</si>
  <si>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</si>
  <si>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</si>
  <si>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</si>
  <si>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</si>
  <si>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</si>
  <si>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</si>
  <si>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</si>
  <si>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</si>
  <si>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</si>
  <si>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</si>
  <si>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</si>
  <si>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</si>
  <si>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</si>
  <si>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</si>
  <si>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</si>
  <si>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</si>
  <si>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</si>
  <si>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</si>
  <si>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</si>
  <si>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</si>
  <si>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</si>
  <si>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</si>
  <si>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</si>
  <si>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</si>
  <si>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</si>
  <si>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</si>
  <si>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</si>
  <si>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</si>
  <si>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</si>
  <si>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</si>
  <si>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</si>
  <si>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</si>
  <si>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</si>
  <si>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</si>
  <si>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</si>
  <si>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</si>
  <si>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</si>
  <si>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</si>
  <si>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</si>
  <si>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</si>
  <si>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</si>
  <si>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</si>
  <si>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</si>
  <si>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</si>
  <si>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</si>
  <si>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</si>
  <si>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</si>
  <si>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</si>
  <si>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</si>
  <si>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</si>
  <si>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</si>
  <si>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</si>
  <si>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</si>
  <si>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</si>
  <si>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</si>
  <si>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</si>
  <si>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</si>
  <si>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</si>
  <si>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</si>
  <si>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</si>
  <si>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</si>
  <si>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</si>
  <si>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</si>
  <si>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</si>
  <si>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</si>
  <si>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</si>
  <si>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</si>
  <si>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</si>
  <si>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</si>
  <si>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</si>
  <si>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</si>
  <si>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</si>
  <si>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</si>
  <si>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</si>
  <si>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</si>
  <si>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</si>
  <si>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</si>
  <si>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</si>
  <si>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</si>
  <si>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</si>
  <si>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</si>
  <si>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</si>
  <si>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</si>
  <si>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</si>
  <si>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</si>
  <si>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</si>
  <si>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</si>
  <si>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</si>
  <si>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</si>
  <si>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</si>
  <si>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</si>
  <si>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</si>
  <si>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</si>
  <si>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</si>
  <si>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</si>
  <si>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</si>
  <si>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</si>
  <si>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</si>
  <si>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</si>
  <si>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</si>
  <si>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</si>
  <si>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</si>
  <si>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</si>
  <si>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</si>
  <si>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</si>
  <si>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</si>
  <si>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</si>
  <si>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</si>
  <si>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</si>
  <si>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</si>
  <si>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</si>
  <si>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</si>
  <si>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</si>
  <si>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</si>
  <si>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</si>
  <si>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</si>
  <si>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</si>
  <si>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</si>
  <si>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</si>
  <si>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</si>
  <si>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</si>
  <si>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</si>
  <si>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</si>
  <si>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</si>
  <si>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</si>
  <si>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</si>
  <si>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</si>
  <si>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</si>
  <si>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</si>
  <si>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</si>
  <si>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</si>
  <si>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</si>
  <si>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</si>
  <si>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</si>
  <si>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</si>
  <si>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</si>
  <si>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</si>
  <si>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</si>
  <si>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</si>
  <si>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</si>
  <si>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</si>
  <si>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</si>
  <si>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</si>
  <si>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</si>
  <si>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</si>
  <si>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</si>
  <si>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</si>
  <si>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</si>
  <si>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</si>
  <si>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</si>
  <si>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</si>
  <si>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</si>
  <si>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</si>
  <si>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</si>
  <si>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</si>
  <si>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</si>
  <si>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</si>
  <si>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</si>
  <si>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</si>
  <si>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</si>
  <si>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</si>
  <si>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</si>
  <si>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</si>
  <si>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</si>
  <si>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</si>
  <si>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</si>
  <si>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</si>
  <si>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</si>
  <si>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</si>
  <si>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</si>
  <si>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</si>
  <si>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</si>
  <si>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</si>
  <si>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</si>
  <si>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</si>
  <si>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</si>
  <si>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</si>
  <si>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</si>
  <si>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</si>
  <si>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</si>
  <si>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</si>
  <si>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</si>
  <si>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</si>
  <si>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</si>
  <si>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</si>
  <si>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</si>
  <si>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</si>
  <si>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</si>
  <si>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</si>
  <si>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</si>
  <si>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</si>
  <si>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</si>
  <si>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</si>
  <si>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</si>
  <si>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</si>
  <si>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</si>
  <si>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</si>
  <si>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</si>
  <si>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</si>
  <si>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</si>
  <si>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</si>
  <si>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</si>
  <si>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</si>
  <si>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</si>
  <si>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</si>
  <si>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</si>
  <si>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</si>
  <si>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</si>
  <si>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</si>
  <si>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</si>
  <si>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</si>
  <si>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</si>
  <si>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</si>
  <si>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</si>
  <si>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</si>
  <si>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</si>
  <si>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</si>
  <si>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</si>
  <si>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</si>
  <si>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</si>
  <si>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</si>
  <si>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</si>
  <si>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</si>
  <si>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</si>
  <si>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</si>
  <si>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</si>
  <si>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</si>
  <si>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</si>
  <si>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</si>
  <si>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</si>
  <si>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</si>
  <si>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</si>
  <si>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</si>
  <si>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</si>
  <si>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</si>
  <si>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</si>
  <si>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</si>
  <si>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</si>
  <si>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</si>
  <si>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</si>
  <si>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</si>
  <si>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</si>
  <si>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</si>
  <si>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</si>
  <si>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</si>
  <si>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</si>
  <si>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</si>
  <si>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</si>
  <si>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</si>
  <si>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</si>
  <si>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</si>
  <si>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</si>
  <si>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</si>
  <si>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</si>
  <si>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</si>
  <si>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</si>
  <si>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</si>
  <si>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</si>
  <si>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</si>
  <si>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</si>
  <si>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</si>
  <si>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</si>
  <si>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</si>
  <si>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</si>
  <si>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</si>
  <si>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</si>
  <si>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</si>
  <si>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</si>
  <si>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</si>
  <si>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</si>
  <si>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</si>
  <si>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</si>
  <si>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</si>
  <si>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</si>
  <si>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</si>
  <si>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</si>
  <si>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</si>
  <si>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</si>
  <si>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</si>
  <si>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</si>
  <si>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</si>
  <si>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</si>
  <si>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</si>
  <si>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</si>
  <si>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</si>
  <si>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</si>
  <si>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</si>
  <si>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</si>
  <si>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</si>
  <si>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</si>
  <si>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</si>
  <si>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</si>
  <si>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</si>
  <si>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</si>
  <si>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</si>
  <si>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</si>
  <si>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</si>
  <si>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</si>
  <si>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</si>
  <si>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</si>
  <si>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</si>
  <si>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</si>
  <si>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</si>
  <si>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</si>
  <si>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</si>
  <si>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</si>
  <si>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</si>
  <si>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</si>
  <si>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</si>
  <si>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</si>
  <si>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</si>
  <si>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</si>
  <si>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</si>
  <si>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</si>
  <si>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</si>
  <si>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</si>
  <si>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</si>
  <si>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</si>
  <si>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</si>
  <si>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</si>
  <si>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</si>
  <si>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</si>
  <si>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</si>
  <si>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</si>
  <si>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</si>
  <si>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</si>
  <si>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</si>
  <si>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</si>
  <si>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</si>
  <si>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</si>
  <si>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</si>
  <si>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</si>
  <si>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</si>
  <si>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</si>
  <si>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</si>
  <si>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</si>
  <si>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</si>
  <si>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</si>
  <si>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</si>
  <si>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</si>
  <si>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</si>
  <si>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</si>
  <si>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</si>
  <si>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</si>
  <si>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</si>
  <si>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</si>
  <si>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</si>
  <si>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</si>
  <si>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</si>
  <si>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</si>
  <si>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</si>
  <si>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</si>
  <si>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</si>
  <si>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</si>
  <si>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</si>
  <si>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</si>
  <si>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</si>
  <si>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</si>
  <si>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</si>
  <si>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</si>
  <si>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</si>
  <si>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</si>
  <si>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</si>
  <si>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</si>
  <si>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</si>
  <si>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</si>
  <si>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</si>
  <si>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</si>
  <si>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</si>
  <si>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</si>
  <si>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</si>
  <si>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</si>
  <si>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</si>
  <si>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</si>
  <si>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</si>
  <si>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</si>
  <si>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</si>
  <si>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</si>
  <si>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</si>
  <si>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</si>
  <si>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</si>
  <si>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</si>
  <si>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</si>
  <si>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</si>
  <si>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</si>
  <si>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</si>
  <si>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</si>
  <si>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</si>
  <si>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</si>
  <si>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</si>
  <si>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</si>
  <si>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</si>
  <si>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</si>
  <si>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</si>
  <si>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</si>
  <si>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</si>
  <si>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</si>
  <si>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</si>
  <si>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</si>
  <si>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</si>
  <si>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</si>
  <si>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</si>
  <si>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</si>
  <si>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</si>
  <si>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</si>
  <si>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</si>
  <si>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</si>
  <si>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</si>
  <si>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</si>
  <si>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</si>
  <si>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</si>
  <si>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</si>
  <si>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</si>
  <si>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</si>
  <si>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</si>
  <si>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</si>
  <si>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</si>
  <si>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</si>
  <si>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</si>
  <si>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</si>
  <si>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</si>
  <si>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</si>
  <si>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</si>
  <si>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</si>
  <si>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</si>
  <si>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</si>
  <si>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</si>
  <si>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</si>
  <si>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</si>
  <si>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</si>
  <si>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</si>
  <si>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</si>
  <si>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</si>
  <si>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</si>
  <si>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</si>
  <si>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</si>
  <si>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</si>
  <si>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</si>
  <si>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</si>
  <si>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</si>
  <si>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</si>
  <si>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</si>
  <si>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</si>
  <si>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</si>
  <si>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</si>
  <si>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</si>
  <si>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</si>
  <si>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</si>
  <si>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</si>
  <si>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</si>
  <si>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</si>
  <si>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</si>
  <si>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</si>
  <si>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</si>
  <si>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</si>
  <si>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</si>
  <si>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</si>
  <si>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</si>
  <si>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</si>
  <si>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</si>
  <si>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</si>
  <si>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</si>
  <si>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</si>
  <si>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</si>
  <si>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</si>
  <si>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</si>
  <si>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</si>
  <si>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</si>
  <si>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</si>
  <si>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</si>
  <si>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</si>
  <si>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</si>
  <si>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</si>
  <si>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</si>
  <si>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</si>
  <si>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</si>
  <si>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</si>
  <si>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</si>
  <si>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</si>
  <si>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</si>
  <si>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</si>
  <si>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</si>
  <si>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</si>
  <si>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</si>
  <si>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</si>
  <si>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</si>
  <si>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</si>
  <si>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</si>
  <si>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</si>
  <si>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</si>
  <si>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</si>
  <si>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</si>
  <si>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</si>
  <si>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</si>
  <si>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</si>
  <si>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</si>
  <si>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</si>
  <si>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</si>
  <si>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</si>
  <si>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</si>
  <si>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</si>
  <si>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</si>
  <si>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</si>
  <si>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</si>
  <si>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</si>
  <si>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</si>
  <si>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</si>
  <si>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</si>
  <si>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</si>
  <si>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</si>
  <si>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</si>
  <si>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</si>
  <si>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</si>
  <si>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</si>
  <si>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</si>
  <si>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</si>
  <si>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</si>
  <si>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</si>
  <si>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</si>
  <si>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</si>
  <si>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</si>
  <si>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</si>
  <si>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</si>
  <si>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</si>
  <si>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</si>
  <si>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</si>
  <si>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</si>
  <si>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</si>
  <si>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</si>
  <si>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</si>
  <si>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</si>
  <si>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</si>
  <si>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</si>
  <si>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</si>
  <si>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</si>
  <si>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</si>
  <si>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</si>
  <si>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</si>
  <si>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</si>
  <si>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</si>
  <si>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</si>
  <si>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</si>
  <si>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</si>
  <si>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</si>
  <si>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</si>
  <si>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</si>
  <si>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</si>
  <si>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</si>
  <si>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</si>
  <si>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</si>
  <si>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</si>
  <si>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</si>
  <si>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</si>
  <si>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</si>
  <si>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</si>
  <si>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</si>
  <si>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</si>
  <si>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</si>
  <si>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</si>
  <si>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</si>
  <si>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</si>
  <si>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</si>
  <si>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</si>
  <si>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</si>
  <si>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</si>
  <si>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</si>
  <si>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</si>
  <si>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</si>
  <si>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</si>
  <si>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</si>
  <si>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</si>
  <si>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</si>
  <si>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</si>
  <si>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</si>
  <si>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</si>
  <si>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</si>
  <si>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</si>
  <si>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</si>
  <si>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</si>
  <si>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</si>
  <si>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</si>
  <si>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</si>
  <si>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</si>
  <si>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</si>
  <si>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</si>
  <si>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</si>
  <si>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</si>
  <si>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</si>
  <si>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</si>
  <si>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</si>
  <si>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</si>
  <si>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</si>
  <si>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</si>
  <si>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</si>
  <si>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</si>
  <si>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</si>
  <si>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</si>
  <si>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</si>
  <si>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</si>
  <si>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</si>
  <si>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</si>
  <si>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</si>
  <si>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</si>
  <si>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</si>
  <si>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</si>
  <si>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</si>
  <si>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</si>
  <si>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</si>
  <si>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</si>
  <si>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</si>
  <si>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</si>
  <si>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</si>
  <si>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</si>
  <si>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</si>
  <si>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</si>
  <si>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</si>
  <si>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</si>
  <si>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</si>
  <si>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</si>
  <si>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</si>
  <si>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</si>
  <si>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</si>
  <si>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</si>
  <si>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</si>
  <si>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</si>
  <si>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</si>
  <si>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</si>
  <si>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</si>
  <si>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</si>
  <si>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</si>
  <si>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</si>
  <si>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</si>
  <si>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</si>
  <si>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</si>
  <si>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</si>
  <si>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</si>
  <si>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</si>
  <si>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</si>
  <si>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</si>
  <si>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</si>
  <si>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</si>
  <si>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</si>
  <si>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</si>
  <si>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</si>
  <si>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</si>
  <si>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</si>
  <si>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</si>
  <si>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</si>
  <si>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</si>
  <si>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</si>
  <si>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</si>
  <si>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</si>
  <si>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</si>
  <si>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</si>
  <si>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</si>
  <si>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</si>
  <si>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</si>
  <si>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</si>
  <si>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</si>
  <si>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</si>
  <si>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</si>
  <si>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</si>
  <si>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</si>
  <si>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</si>
  <si>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</si>
  <si>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</si>
  <si>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</si>
  <si>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</si>
  <si>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</si>
  <si>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</si>
  <si>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</si>
  <si>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</si>
  <si>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</si>
  <si>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</si>
  <si>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</si>
  <si>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</si>
  <si>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</si>
  <si>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</si>
  <si>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</si>
  <si>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</si>
  <si>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</si>
  <si>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</si>
  <si>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</si>
  <si>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</si>
  <si>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</si>
  <si>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</si>
  <si>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</si>
  <si>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</si>
  <si>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</si>
  <si>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</si>
  <si>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</si>
  <si>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</si>
  <si>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</si>
  <si>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</si>
  <si>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</si>
  <si>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</si>
  <si>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</si>
  <si>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</si>
  <si>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</si>
  <si>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</si>
  <si>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</si>
  <si>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</si>
  <si>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</si>
  <si>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</si>
  <si>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</si>
  <si>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</si>
  <si>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</si>
  <si>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</si>
  <si>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</si>
  <si>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</si>
  <si>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</si>
  <si>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</si>
  <si>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</si>
  <si>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</si>
  <si>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</si>
  <si>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</si>
  <si>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</si>
  <si>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</si>
  <si>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</si>
  <si>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</si>
  <si>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</si>
  <si>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</si>
  <si>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</si>
  <si>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</si>
  <si>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</si>
  <si>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</si>
  <si>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</si>
  <si>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</si>
  <si>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</si>
  <si>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</si>
  <si>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</si>
  <si>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</si>
  <si>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</si>
  <si>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</si>
  <si>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</si>
  <si>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</si>
  <si>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</si>
  <si>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</si>
  <si>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</si>
  <si>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</si>
  <si>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</si>
  <si>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</si>
  <si>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</si>
  <si>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</si>
  <si>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</si>
  <si>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</si>
  <si>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</si>
  <si>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</si>
  <si>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</si>
  <si>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</si>
  <si>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</si>
  <si>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</si>
  <si>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</si>
  <si>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</si>
  <si>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</si>
  <si>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</si>
  <si>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</si>
  <si>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</si>
  <si>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</si>
  <si>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</si>
  <si>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</si>
  <si>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</si>
  <si>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</si>
  <si>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</si>
  <si>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</si>
  <si>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</si>
  <si>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</si>
  <si>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</si>
  <si>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</si>
  <si>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</si>
  <si>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</si>
  <si>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</si>
  <si>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</si>
  <si>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</si>
  <si>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</si>
  <si>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</si>
  <si>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</si>
  <si>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</si>
  <si>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</si>
  <si>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</si>
  <si>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</si>
  <si>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</si>
  <si>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</si>
  <si>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</si>
  <si>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</si>
  <si>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</si>
  <si>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</si>
  <si>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</si>
  <si>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</si>
  <si>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</si>
  <si>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</si>
  <si>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</si>
  <si>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</si>
  <si>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</si>
  <si>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</si>
  <si>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</si>
  <si>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</si>
  <si>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</si>
  <si>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</si>
  <si>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</si>
  <si>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</si>
  <si>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</si>
  <si>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</si>
  <si>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</si>
  <si>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</si>
  <si>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</si>
  <si>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</si>
  <si>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</si>
  <si>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</si>
  <si>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</si>
  <si>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</si>
  <si>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</si>
  <si>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</si>
  <si>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</si>
  <si>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</si>
  <si>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</si>
  <si>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</si>
  <si>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</si>
  <si>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</si>
  <si>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</si>
  <si>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</si>
  <si>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</si>
  <si>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</si>
  <si>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</si>
  <si>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</si>
  <si>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</si>
  <si>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</si>
  <si>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</si>
  <si>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</si>
  <si>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</si>
  <si>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</si>
  <si>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</si>
  <si>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</si>
  <si>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</si>
  <si>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</si>
  <si>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</si>
  <si>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</si>
  <si>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</si>
  <si>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</si>
  <si>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</si>
  <si>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</si>
  <si>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</si>
  <si>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</si>
  <si>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</si>
  <si>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</si>
  <si>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</si>
  <si>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</si>
  <si>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</si>
  <si>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</si>
  <si>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</si>
  <si>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</si>
  <si>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</si>
  <si>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</si>
  <si>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</si>
  <si>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</si>
  <si>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</si>
  <si>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</si>
  <si>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</si>
  <si>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</si>
  <si>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</si>
  <si>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</si>
  <si>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</si>
  <si>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</si>
  <si>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</si>
  <si>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</si>
  <si>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</si>
  <si>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</si>
  <si>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</si>
  <si>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</si>
  <si>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</si>
  <si>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</si>
  <si>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</si>
  <si>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</si>
  <si>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</si>
  <si>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</si>
  <si>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</si>
  <si>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</si>
  <si>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</si>
  <si>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</si>
  <si>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</si>
  <si>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</si>
  <si>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</si>
  <si>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</si>
  <si>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</si>
  <si>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</si>
  <si>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</si>
  <si>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</si>
  <si>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</si>
  <si>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</si>
  <si>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</si>
  <si>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</si>
  <si>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</si>
  <si>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</si>
  <si>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</si>
  <si>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</si>
  <si>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</si>
  <si>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</si>
  <si>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</si>
  <si>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</si>
  <si>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</si>
  <si>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</si>
  <si>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</si>
  <si>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</si>
  <si>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</si>
  <si>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</si>
  <si>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</si>
  <si>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</si>
  <si>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</si>
  <si>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</si>
  <si>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</si>
  <si>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</si>
  <si>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</si>
  <si>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</si>
  <si>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</si>
  <si>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</si>
  <si>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</si>
  <si>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</si>
  <si>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</si>
  <si>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</si>
  <si>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</si>
  <si>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</si>
  <si>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</si>
  <si>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</si>
  <si>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</si>
  <si>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</si>
  <si>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</si>
  <si>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</si>
  <si>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</si>
  <si>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</si>
  <si>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</si>
  <si>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</si>
  <si>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</si>
  <si>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</si>
  <si>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</si>
  <si>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</si>
  <si>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</si>
  <si>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</si>
  <si>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</si>
  <si>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</si>
  <si>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</si>
  <si>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</si>
  <si>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</si>
  <si>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</si>
  <si>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</si>
  <si>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</si>
  <si>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</si>
  <si>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</si>
  <si>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</si>
  <si>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</si>
  <si>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</si>
  <si>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</si>
  <si>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</si>
  <si>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</si>
  <si>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</si>
  <si>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</si>
  <si>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</si>
  <si>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</si>
  <si>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</si>
  <si>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</si>
  <si>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</si>
  <si>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</si>
  <si>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</si>
  <si>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</si>
  <si>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</si>
  <si>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</si>
  <si>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</si>
  <si>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</si>
  <si>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</si>
  <si>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</si>
  <si>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</si>
  <si>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</si>
  <si>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</si>
  <si>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</si>
  <si>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</si>
  <si>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</si>
  <si>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</si>
  <si>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</si>
  <si>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</si>
  <si>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</si>
  <si>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</si>
  <si>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</si>
  <si>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</si>
  <si>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</si>
  <si>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</si>
  <si>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</si>
  <si>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</si>
  <si>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</si>
  <si>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</si>
  <si>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</si>
  <si>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</si>
  <si>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</si>
  <si>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</si>
  <si>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</si>
  <si>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</si>
  <si>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</si>
  <si>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</si>
  <si>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</si>
  <si>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</si>
  <si>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</si>
  <si>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</si>
  <si>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</si>
  <si>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</si>
  <si>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</si>
  <si>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</si>
  <si>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</si>
  <si>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</si>
  <si>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</si>
  <si>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</si>
  <si>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</si>
  <si>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</si>
  <si>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</si>
  <si>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</si>
  <si>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</si>
  <si>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</si>
  <si>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</si>
  <si>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</si>
  <si>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</si>
  <si>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Resouces:</t>
  </si>
  <si>
    <t>Row Labels</t>
  </si>
  <si>
    <t>Grand Total</t>
  </si>
  <si>
    <t>Sum of Amount</t>
  </si>
  <si>
    <t>Count of TX ID</t>
  </si>
  <si>
    <t>Sum of Quantity</t>
  </si>
  <si>
    <t>Average of Rating C</t>
  </si>
  <si>
    <t>Values for Display</t>
  </si>
  <si>
    <t>Qty</t>
  </si>
  <si>
    <t>Avg.Rating</t>
  </si>
  <si>
    <t>Avg.Days</t>
  </si>
  <si>
    <t>Average of Days to Deliver</t>
  </si>
  <si>
    <t>Column Labels</t>
  </si>
  <si>
    <t>Female</t>
  </si>
  <si>
    <t>Male</t>
  </si>
  <si>
    <t>Other</t>
  </si>
  <si>
    <t>Unknown</t>
  </si>
  <si>
    <t>For matrix</t>
  </si>
  <si>
    <t>6 TO 10</t>
  </si>
  <si>
    <t>More than 10</t>
  </si>
  <si>
    <t>Products by Quantity</t>
  </si>
  <si>
    <t>Map Chart Stuff(Qty)</t>
  </si>
  <si>
    <t>Shipment Duration Analysis</t>
  </si>
  <si>
    <t>Customer Satisfaction Analysis</t>
  </si>
  <si>
    <t>Jan</t>
  </si>
  <si>
    <t>Feb</t>
  </si>
  <si>
    <t>Mar</t>
  </si>
  <si>
    <t>For trends</t>
  </si>
  <si>
    <t>Order Qty Analysis</t>
  </si>
  <si>
    <t>Geographical Analysis</t>
  </si>
  <si>
    <t>Map Chart for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</si>
</sst>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00_ ;_-[$$-409]* \-#,##0.00\ ;_-[$$-409]* &quot;-&quot;??_ ;_-@_ "/>
    <numFmt numFmtId="165" formatCode="[$$-409]#,##0"/>
    <numFmt numFmtId="166" formatCode="0.0%"/>
  </numFmts>
  <fonts count="4"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s>
  <fills count="9">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23">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0" fillId="8" borderId="0" xfId="0" applyFill="1"/>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0" fontId="0" fillId="0" borderId="0" xfId="0" applyNumberFormat="1"/>
    <xf numFmtId="166" fontId="0" fillId="0" borderId="0" xfId="0" applyNumberFormat="1"/>
    <xf numFmtId="0" fontId="0" fillId="0" borderId="0" xfId="0" applyBorder="1"/>
    <xf numFmtId="166" fontId="0" fillId="0" borderId="0" xfId="0" applyNumberFormat="1" applyBorder="1"/>
    <xf numFmtId="0" fontId="1" fillId="0" borderId="0" xfId="0" applyFont="1"/>
  </cellXfs>
  <cellStyles count="2">
    <cellStyle name="Hyperlink" xfId="1" builtinId="8"/>
    <cellStyle name="Normal" xfId="0" builtinId="0"/>
  </cellStyles>
  <dxfs count="30">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409]#,##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409]#,##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409]#,##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409]#,##0"/>
    </dxf>
    <dxf>
      <numFmt numFmtId="0" formatCode="General"/>
    </dxf>
    <dxf>
      <numFmt numFmtId="0" formatCode="General"/>
    </dxf>
    <dxf>
      <numFmt numFmtId="0" formatCode="General"/>
    </dxf>
    <dxf>
      <numFmt numFmtId="167" formatCode="d\-mmm\-yy"/>
    </dxf>
    <dxf>
      <numFmt numFmtId="167" formatCode="d\-mmm\-yy"/>
    </dxf>
    <dxf>
      <numFmt numFmtId="165" formatCode="[$$-409]#,##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s>
  <tableStyles count="0" defaultTableStyle="TableStyleMedium2" defaultPivotStyle="PivotStyleLight16"/>
  <colors>
    <mruColors>
      <color rgb="FFE5F608"/>
      <color rgb="FFBFBB19"/>
      <color rgb="FF339933"/>
      <color rgb="FFBEEE96"/>
      <color rgb="FF009900"/>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[ecommerce.xlsx]Pivots!pvtTrend</c:name>
    <c:fmtId val="25"/>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b="0" cap="none" spc="0">
                <a:ln w="0"/>
                <a:solidFill>
                  <a:schemeClr val="tx1"/>
                </a:solidFill>
                <a:effectLst>
                  <a:outerShdw blurRad="38100" dist="19050" dir="2700000" algn="tl" rotWithShape="0">
                    <a:schemeClr val="dk1">
                      <a:alpha val="40000"/>
                    </a:schemeClr>
                  </a:outerShdw>
                </a:effectLst>
                <a:latin typeface="+mn-lt"/>
                <a:ea typeface="+mn-ea"/>
                <a:cs typeface="+mn-cs"/>
              </a:rPr>
              <a:t>Last</a:t>
            </a:r>
            <a:r>
              <a:rPr lang="en-IN" b="0" cap="none" spc="0" baseline="0">
                <a:ln w="0"/>
                <a:solidFill>
                  <a:schemeClr val="tx1"/>
                </a:solidFill>
                <a:effectLst>
                  <a:outerShdw blurRad="38100" dist="19050" dir="2700000" algn="tl" rotWithShape="0">
                    <a:schemeClr val="dk1">
                      <a:alpha val="40000"/>
                    </a:schemeClr>
                  </a:outerShdw>
                </a:effectLst>
                <a:latin typeface="+mn-lt"/>
                <a:ea typeface="+mn-ea"/>
                <a:cs typeface="+mn-cs"/>
              </a:rPr>
              <a:t> 13 Week Trends-Qty &amp; Amount</a:t>
            </a:r>
            <a:endParaRPr lang="en-IN" b="0"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22213623549241307"/>
          <c:y val="2.9729728675259675E-2"/>
        </c:manualLayout>
      </c:layout>
      <c:overlay val="0"/>
      <c:spPr>
        <a:solidFill>
          <a:schemeClr val="lt1"/>
        </a:solidFill>
        <a:ln w="19050" cap="flat" cmpd="sng" algn="ctr">
          <a:noFill/>
          <a:prstDash val="solid"/>
          <a:miter lim="800000"/>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78875723874656E-2"/>
          <c:y val="0.192916287404544"/>
          <c:w val="0.75913581454492096"/>
          <c:h val="0.70151118317687511"/>
        </c:manualLayout>
      </c:layout>
      <c:lineChart>
        <c:grouping val="standard"/>
        <c:varyColors val="0"/>
        <c:ser>
          <c:idx val="0"/>
          <c:order val="0"/>
          <c:tx>
            <c:strRef>
              <c:f>Pivots!$B$9</c:f>
              <c:strCache>
                <c:ptCount val="1"/>
                <c:pt idx="0">
                  <c:v>Sum of Quantity</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Pivots!$B$10:$B$23</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020B-4983-9A83-EFE63AAEF7BE}"/>
            </c:ext>
          </c:extLst>
        </c:ser>
        <c:dLbls>
          <c:showLegendKey val="0"/>
          <c:showVal val="0"/>
          <c:showCatName val="0"/>
          <c:showSerName val="0"/>
          <c:showPercent val="0"/>
          <c:showBubbleSize val="0"/>
        </c:dLbls>
        <c:marker val="1"/>
        <c:smooth val="0"/>
        <c:axId val="1706368432"/>
        <c:axId val="1706365072"/>
      </c:lineChart>
      <c:lineChart>
        <c:grouping val="standard"/>
        <c:varyColors val="0"/>
        <c:ser>
          <c:idx val="1"/>
          <c:order val="1"/>
          <c:tx>
            <c:strRef>
              <c:f>Pivots!$C$9</c:f>
              <c:strCache>
                <c:ptCount val="1"/>
                <c:pt idx="0">
                  <c:v>Sum of Amount</c:v>
                </c:pt>
              </c:strCache>
            </c:strRef>
          </c:tx>
          <c:spPr>
            <a:ln w="28575" cap="rnd">
              <a:solidFill>
                <a:schemeClr val="accent5"/>
              </a:solidFill>
              <a:round/>
            </a:ln>
            <a:effectLst/>
          </c:spPr>
          <c:marker>
            <c:symbol val="none"/>
          </c:marker>
          <c:cat>
            <c:strRef>
              <c:f>Pivots!$A$10:$A$23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Pivots!$C$10:$C$23</c:f>
              <c:numCache>
                <c:formatCode>[$$-409]#,##0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020B-4983-9A83-EFE63AAEF7BE}"/>
            </c:ext>
          </c:extLst>
        </c:ser>
        <c:dLbls>
          <c:showLegendKey val="0"/>
          <c:showVal val="0"/>
          <c:showCatName val="0"/>
          <c:showSerName val="0"/>
          <c:showPercent val="0"/>
          <c:showBubbleSize val="0"/>
        </c:dLbls>
        <c:marker val="1"/>
        <c:smooth val="0"/>
        <c:axId val="1700922608"/>
        <c:axId val="1700925008"/>
      </c:lineChart>
      <c:catAx>
        <c:axId val="170636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365072"/>
        <c:crosses val="autoZero"/>
        <c:auto val="1"/>
        <c:lblAlgn val="ctr"/>
        <c:lblOffset val="100"/>
        <c:noMultiLvlLbl val="0"/>
      </c:catAx>
      <c:valAx>
        <c:axId val="170636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368432"/>
        <c:crosses val="autoZero"/>
        <c:crossBetween val="between"/>
        <c:majorUnit val="500"/>
      </c:valAx>
      <c:valAx>
        <c:axId val="1700925008"/>
        <c:scaling>
          <c:orientation val="minMax"/>
        </c:scaling>
        <c:delete val="0"/>
        <c:axPos val="r"/>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922608"/>
        <c:crosses val="max"/>
        <c:crossBetween val="between"/>
      </c:valAx>
      <c:catAx>
        <c:axId val="1700922608"/>
        <c:scaling>
          <c:orientation val="minMax"/>
        </c:scaling>
        <c:delete val="1"/>
        <c:axPos val="b"/>
        <c:numFmt formatCode="General" sourceLinked="1"/>
        <c:majorTickMark val="out"/>
        <c:minorTickMark val="none"/>
        <c:tickLblPos val="nextTo"/>
        <c:crossAx val="170092500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[ecommerce.xlsx]Pivots3!pvtQty</c:name>
    <c:fmtId val="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latin typeface="+mn-lt"/>
                <a:ea typeface="+mn-ea"/>
                <a:cs typeface="+mn-cs"/>
              </a:rPr>
              <a:t>How</a:t>
            </a:r>
            <a:r>
              <a:rPr lang="en-US" b="0" cap="none" spc="0" baseline="0">
                <a:ln w="0"/>
                <a:solidFill>
                  <a:schemeClr val="tx1"/>
                </a:solidFill>
                <a:effectLst>
                  <a:outerShdw blurRad="38100" dist="19050" dir="2700000" algn="tl" rotWithShape="0">
                    <a:schemeClr val="dk1">
                      <a:alpha val="40000"/>
                    </a:schemeClr>
                  </a:outerShdw>
                </a:effectLst>
                <a:latin typeface="+mn-lt"/>
                <a:ea typeface="+mn-ea"/>
                <a:cs typeface="+mn-cs"/>
              </a:rPr>
              <a:t> many they buy?</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solidFill>
          <a:schemeClr val="lt1"/>
        </a:solidFill>
        <a:ln w="19050" cap="flat" cmpd="sng" algn="ctr">
          <a:no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Pivots3!$B$3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Pivots3!$A$4:$A$11</c:f>
              <c:strCache>
                <c:ptCount val="7"/>
                <c:pt idx="0">
                  <c:v>1</c:v>
                </c:pt>
                <c:pt idx="1">
                  <c:v>2</c:v>
                </c:pt>
                <c:pt idx="2">
                  <c:v>3</c:v>
                </c:pt>
                <c:pt idx="3">
                  <c:v>4</c:v>
                </c:pt>
                <c:pt idx="4">
                  <c:v>5</c:v>
                </c:pt>
                <c:pt idx="5">
                  <c:v>6 TO 10</c:v>
                </c:pt>
                <c:pt idx="6">
                  <c:v>More than 10</c:v>
                </c:pt>
              </c:strCache>
            </c:strRef>
          </c:cat>
          <c:val>
            <c:numRef>
              <c:f>Pivots3!$B$4:$B$11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4580-49E4-823E-A4CE498FFB97}"/>
            </c:ext>
          </c:extLst>
        </c:ser>
        <c:dLbls>
          <c:dLblPos val="outEnd"/>
          <c:showLegendKey val="0"/>
          <c:showVal val="1"/>
          <c:showCatName val="0"/>
          <c:showSerName val="0"/>
          <c:showPercent val="0"/>
          <c:showBubbleSize val="0"/>
        </c:dLbls>
        <c:gapWidth val="10"/>
        <c:overlap val="10"/>
        <c:axId val="1489878431"/>
        <c:axId val="1489879391"/>
      </c:barChart>
      <c:catAx>
        <c:axId val="14898784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879391"/>
        <c:crosses val="autoZero"/>
        <c:auto val="1"/>
        <c:lblAlgn val="ctr"/>
        <c:lblOffset val="100"/>
        <c:noMultiLvlLbl val="0"/>
      </c:catAx>
      <c:valAx>
        <c:axId val="1489879391"/>
        <c:scaling>
          <c:orientation val="minMax"/>
        </c:scaling>
        <c:delete val="1"/>
        <c:axPos val="l"/>
        <c:numFmt formatCode="General" sourceLinked="1"/>
        <c:majorTickMark val="out"/>
        <c:minorTickMark val="none"/>
        <c:tickLblPos val="nextTo"/>
        <c:crossAx val="1489878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[ecommerce.xlsx]Pivots4!pvtProduct</c:name>
    <c:fmtId val="20"/>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b="0" cap="none" spc="0">
                <a:ln w="0"/>
                <a:solidFill>
                  <a:schemeClr val="tx1"/>
                </a:solidFill>
                <a:effectLst>
                  <a:outerShdw blurRad="38100" dist="19050" dir="2700000" algn="tl" rotWithShape="0">
                    <a:schemeClr val="dk1">
                      <a:alpha val="40000"/>
                    </a:schemeClr>
                  </a:outerShdw>
                </a:effectLst>
                <a:latin typeface="+mn-lt"/>
                <a:ea typeface="+mn-ea"/>
                <a:cs typeface="+mn-cs"/>
              </a:rPr>
              <a:t>Which</a:t>
            </a:r>
            <a:r>
              <a:rPr lang="en-IN" b="0" cap="none" spc="0" baseline="0">
                <a:ln w="0"/>
                <a:solidFill>
                  <a:schemeClr val="tx1"/>
                </a:solidFill>
                <a:effectLst>
                  <a:outerShdw blurRad="38100" dist="19050" dir="2700000" algn="tl" rotWithShape="0">
                    <a:schemeClr val="dk1">
                      <a:alpha val="40000"/>
                    </a:schemeClr>
                  </a:outerShdw>
                </a:effectLst>
                <a:latin typeface="+mn-lt"/>
                <a:ea typeface="+mn-ea"/>
                <a:cs typeface="+mn-cs"/>
              </a:rPr>
              <a:t> products are popular?Breakdown by Gender</a:t>
            </a:r>
            <a:endParaRPr lang="en-IN" b="0" cap="none" spc="0">
              <a:ln w="0"/>
              <a:solidFill>
                <a:schemeClr val="tx1"/>
              </a:solidFill>
              <a:effectLst>
                <a:outerShdw blurRad="38100" dist="19050" dir="2700000" algn="tl" rotWithShape="0">
                  <a:schemeClr val="dk1">
                    <a:alpha val="40000"/>
                  </a:schemeClr>
                </a:outerShdw>
              </a:effectLst>
            </a:endParaRPr>
          </a:p>
        </c:rich>
      </c:tx>
      <c:overlay val="0"/>
      <c:spPr>
        <a:solidFill>
          <a:schemeClr val="lt1"/>
        </a:solidFill>
        <a:ln w="19050" cap="flat" cmpd="sng" algn="ctr">
          <a:noFill/>
          <a:prstDash val="solid"/>
          <a:miter lim="800000"/>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903969044712303E-2"/>
          <c:y val="0.14492486063404778"/>
          <c:w val="0.62216793399899128"/>
          <c:h val="0.81244121089593535"/>
        </c:manualLayout>
      </c:layout>
      <c:barChart>
        <c:barDir val="bar"/>
        <c:grouping val="stacked"/>
        <c:varyColors val="0"/>
        <c:ser>
          <c:idx val="0"/>
          <c:order val="0"/>
          <c:tx>
            <c:strRef>
              <c:f>Pivots4!$B$3:$B$4</c:f>
              <c:strCache>
                <c:ptCount val="1"/>
                <c:pt idx="0">
                  <c:v>Female</c:v>
                </c:pt>
              </c:strCache>
            </c:strRef>
          </c:tx>
          <c:spPr>
            <a:solidFill>
              <a:schemeClr val="accent1"/>
            </a:solidFill>
            <a:ln>
              <a:noFill/>
            </a:ln>
            <a:effectLst/>
          </c:spPr>
          <c:invertIfNegative val="0"/>
          <c:cat>
            <c:strRef>
              <c:f>Pivots4!$A$5:$A$25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Pivots4!$B$5:$B$25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C0B7-47FB-9F1C-6DF151826866}"/>
            </c:ext>
          </c:extLst>
        </c:ser>
        <c:ser>
          <c:idx val="1"/>
          <c:order val="1"/>
          <c:tx>
            <c:strRef>
              <c:f>Pivots4!$C$3:$C$4</c:f>
              <c:strCache>
                <c:ptCount val="1"/>
                <c:pt idx="0">
                  <c:v>Male</c:v>
                </c:pt>
              </c:strCache>
            </c:strRef>
          </c:tx>
          <c:spPr>
            <a:solidFill>
              <a:schemeClr val="accent2"/>
            </a:solidFill>
            <a:ln>
              <a:noFill/>
            </a:ln>
            <a:effectLst/>
          </c:spPr>
          <c:invertIfNegative val="0"/>
          <c:cat>
            <c:strRef>
              <c:f>Pivots4!$A$5:$A$25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Pivots4!$C$5:$C$25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55A5-413C-A270-4999883E22F2}"/>
            </c:ext>
          </c:extLst>
        </c:ser>
        <c:ser>
          <c:idx val="2"/>
          <c:order val="2"/>
          <c:tx>
            <c:strRef>
              <c:f>Pivots4!$D$3:$D$4</c:f>
              <c:strCache>
                <c:ptCount val="1"/>
                <c:pt idx="0">
                  <c:v>Other</c:v>
                </c:pt>
              </c:strCache>
            </c:strRef>
          </c:tx>
          <c:spPr>
            <a:solidFill>
              <a:schemeClr val="accent3"/>
            </a:solidFill>
            <a:ln>
              <a:noFill/>
            </a:ln>
            <a:effectLst/>
          </c:spPr>
          <c:invertIfNegative val="0"/>
          <c:cat>
            <c:strRef>
              <c:f>Pivots4!$A$5:$A$25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Pivots4!$D$5:$D$25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55A5-413C-A270-4999883E22F2}"/>
            </c:ext>
          </c:extLst>
        </c:ser>
        <c:ser>
          <c:idx val="3"/>
          <c:order val="3"/>
          <c:tx>
            <c:strRef>
              <c:f>Pivots4!$E$3:$E$4</c:f>
              <c:strCache>
                <c:ptCount val="1"/>
                <c:pt idx="0">
                  <c:v>Unknown</c:v>
                </c:pt>
              </c:strCache>
            </c:strRef>
          </c:tx>
          <c:spPr>
            <a:solidFill>
              <a:schemeClr val="accent4"/>
            </a:solidFill>
            <a:ln>
              <a:noFill/>
            </a:ln>
            <a:effectLst/>
          </c:spPr>
          <c:invertIfNegative val="0"/>
          <c:cat>
            <c:strRef>
              <c:f>Pivots4!$A$5:$A$25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Pivots4!$E$5:$E$25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55A5-413C-A270-4999883E22F2}"/>
            </c:ext>
          </c:extLst>
        </c:ser>
        <c:dLbls>
          <c:showLegendKey val="0"/>
          <c:showVal val="0"/>
          <c:showCatName val="0"/>
          <c:showSerName val="0"/>
          <c:showPercent val="0"/>
          <c:showBubbleSize val="0"/>
        </c:dLbls>
        <c:gapWidth val="30"/>
        <c:overlap val="100"/>
        <c:axId val="1846507887"/>
        <c:axId val="1846514127"/>
      </c:barChart>
      <c:catAx>
        <c:axId val="1846507887"/>
        <c:scaling>
          <c:orientation val="maxMin"/>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46514127"/>
        <c:crossesAt val="0"/>
        <c:auto val="1"/>
        <c:lblAlgn val="ctr"/>
        <c:lblOffset val="10"/>
        <c:noMultiLvlLbl val="0"/>
      </c:catAx>
      <c:valAx>
        <c:axId val="1846514127"/>
        <c:scaling>
          <c:orientation val="minMax"/>
          <c:max val="2000"/>
          <c:min val="0"/>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46507887"/>
        <c:crosses val="autoZero"/>
        <c:crossBetween val="between"/>
        <c:minorUnit val="1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[ecommerce.xlsx]Pivots4!pvtGender</c:name>
    <c:fmtId val="4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1604392993733513"/>
              <c:y val="0.27951269602512857"/>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10153843869516826"/>
              <c:y val="0.24457360902198755"/>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0.44967022850717353"/>
              <c:y val="-6.9878174006282157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dLbl>
          <c:idx val="0"/>
          <c:layout>
            <c:manualLayout>
              <c:x val="-0.19582413176925306"/>
              <c:y val="-8.7347717507852696E-3"/>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6972041522254223"/>
                  <c:h val="0.29965631768158524"/>
                </c:manualLayout>
              </c15:layout>
            </c:ext>
          </c:extLst>
        </c:dLbl>
      </c:pivotFmt>
    </c:pivotFmts>
    <c:plotArea>
      <c:layout>
        <c:manualLayout>
          <c:layoutTarget val="inner"/>
          <c:xMode val="edge"/>
          <c:yMode val="edge"/>
          <c:x val="0.21604762019431994"/>
          <c:y val="0.16601649173160454"/>
          <c:w val="0.54851347430874009"/>
          <c:h val="0.65314316456093746"/>
        </c:manualLayout>
      </c:layout>
      <c:doughnutChart>
        <c:varyColors val="1"/>
        <c:ser>
          <c:idx val="0"/>
          <c:order val="0"/>
          <c:tx>
            <c:strRef>
              <c:f>Pivots4!$K$3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54-48C3-8923-E9D905AE68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54-48C3-8923-E9D905AE68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54-48C3-8923-E9D905AE688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E54-48C3-8923-E9D905AE6881}"/>
              </c:ext>
            </c:extLst>
          </c:dPt>
          <c:dLbls>
            <c:dLbl>
              <c:idx val="0"/>
              <c:layout>
                <c:manualLayout>
                  <c:x val="0.11604392993733513"/>
                  <c:y val="0.2795126960251285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E54-48C3-8923-E9D905AE6881}"/>
                </c:ext>
              </c:extLst>
            </c:dLbl>
            <c:dLbl>
              <c:idx val="1"/>
              <c:layout>
                <c:manualLayout>
                  <c:x val="-0.10153843869516826"/>
                  <c:y val="0.2445736090219875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E54-48C3-8923-E9D905AE6881}"/>
                </c:ext>
              </c:extLst>
            </c:dLbl>
            <c:dLbl>
              <c:idx val="2"/>
              <c:layout>
                <c:manualLayout>
                  <c:x val="0.44967022850717353"/>
                  <c:y val="-6.987817400628215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E54-48C3-8923-E9D905AE6881}"/>
                </c:ext>
              </c:extLst>
            </c:dLbl>
            <c:dLbl>
              <c:idx val="3"/>
              <c:layout>
                <c:manualLayout>
                  <c:x val="-0.19582413176925306"/>
                  <c:y val="-8.7347717507852696E-3"/>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6972041522254223"/>
                      <c:h val="0.29965631768158524"/>
                    </c:manualLayout>
                  </c15:layout>
                </c:ext>
                <c:ext xmlns:c16="http://schemas.microsoft.com/office/drawing/2014/chart" uri="{C3380CC4-5D6E-409C-BE32-E72D297353CC}">
                  <c16:uniqueId val="{00000007-FE54-48C3-8923-E9D905AE6881}"/>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Pivots4!$J$4:$J$8</c:f>
              <c:strCache>
                <c:ptCount val="4"/>
                <c:pt idx="0">
                  <c:v>Female</c:v>
                </c:pt>
                <c:pt idx="1">
                  <c:v>Male</c:v>
                </c:pt>
                <c:pt idx="2">
                  <c:v>Other</c:v>
                </c:pt>
                <c:pt idx="3">
                  <c:v>Unknown</c:v>
                </c:pt>
              </c:strCache>
            </c:strRef>
          </c:cat>
          <c:val>
            <c:numRef>
              <c:f>Pivots4!$K$4:$K$8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FE54-48C3-8923-E9D905AE6881}"/>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[ecommerce.xlsx]Pivots6!pvtDuration</c:name>
    <c:fmtId val="15"/>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latin typeface="+mn-lt"/>
                <a:ea typeface="+mn-ea"/>
                <a:cs typeface="+mn-cs"/>
              </a:rPr>
              <a:t>How</a:t>
            </a:r>
            <a:r>
              <a:rPr lang="en-US" b="0" cap="none" spc="0" baseline="0">
                <a:ln w="0"/>
                <a:solidFill>
                  <a:schemeClr val="tx1"/>
                </a:solidFill>
                <a:effectLst>
                  <a:outerShdw blurRad="38100" dist="19050" dir="2700000" algn="tl" rotWithShape="0">
                    <a:schemeClr val="dk1">
                      <a:alpha val="40000"/>
                    </a:schemeClr>
                  </a:outerShdw>
                </a:effectLst>
                <a:latin typeface="+mn-lt"/>
                <a:ea typeface="+mn-ea"/>
                <a:cs typeface="+mn-cs"/>
              </a:rPr>
              <a:t> long we take to ship ?</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solidFill>
          <a:schemeClr val="lt1"/>
        </a:solidFill>
        <a:ln w="19050" cap="flat" cmpd="sng" algn="ctr">
          <a:noFill/>
          <a:prstDash val="solid"/>
          <a:miter lim="800000"/>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solidFill>
              <a:srgbClr val="BEEE96">
                <a:alpha val="96000"/>
              </a:srgbClr>
            </a:solidFill>
          </a:ln>
          <a:effectLst>
            <a:glow>
              <a:schemeClr val="accent1"/>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Pivots6!$B$3</c:f>
              <c:strCache>
                <c:ptCount val="1"/>
                <c:pt idx="0">
                  <c:v>Total</c:v>
                </c:pt>
              </c:strCache>
            </c:strRef>
          </c:tx>
          <c:spPr>
            <a:solidFill>
              <a:schemeClr val="accent6"/>
            </a:solidFill>
            <a:ln>
              <a:solidFill>
                <a:srgbClr val="BEEE96">
                  <a:alpha val="96000"/>
                </a:srgbClr>
              </a:solidFill>
            </a:ln>
            <a:effectLst>
              <a:glow>
                <a:schemeClr val="accent1"/>
              </a:glow>
            </a:effectLst>
          </c:spPr>
          <c:invertIfNegative val="0"/>
          <c:cat>
            <c:strRef>
              <c:f>Pivots6!$A$4:$A$19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Pivots6!$B$4:$B$19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15E9-42AB-93E5-0FA73DEB49AB}"/>
            </c:ext>
          </c:extLst>
        </c:ser>
        <c:dLbls>
          <c:showLegendKey val="0"/>
          <c:showVal val="0"/>
          <c:showCatName val="0"/>
          <c:showSerName val="0"/>
          <c:showPercent val="0"/>
          <c:showBubbleSize val="0"/>
        </c:dLbls>
        <c:gapWidth val="50"/>
        <c:overlap val="100"/>
        <c:axId val="1986606447"/>
        <c:axId val="1986605967"/>
      </c:barChart>
      <c:catAx>
        <c:axId val="19866064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86605967"/>
        <c:crosses val="autoZero"/>
        <c:auto val="1"/>
        <c:lblAlgn val="ctr"/>
        <c:lblOffset val="100"/>
        <c:noMultiLvlLbl val="0"/>
      </c:catAx>
      <c:valAx>
        <c:axId val="1986605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606447"/>
        <c:crosses val="autoZero"/>
        <c:crossBetween val="between"/>
        <c:majorUnit val="1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[ecommerce.xlsx]Pivots7!pvtRating</c:name>
    <c:fmtId val="17"/>
  </c:pivotSource>
  <c:chart>
    <c:title>
      <c:tx>
        <c:rich>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sz="1400" b="0" cap="none" spc="0">
                <a:ln w="0"/>
                <a:solidFill>
                  <a:schemeClr val="tx1"/>
                </a:solidFill>
                <a:effectLst>
                  <a:outerShdw blurRad="38100" dist="19050" dir="2700000" algn="tl" rotWithShape="0">
                    <a:schemeClr val="dk1">
                      <a:alpha val="40000"/>
                    </a:schemeClr>
                  </a:outerShdw>
                </a:effectLst>
                <a:latin typeface="+mn-lt"/>
                <a:ea typeface="+mn-ea"/>
                <a:cs typeface="+mn-cs"/>
              </a:rPr>
              <a:t>How</a:t>
            </a:r>
            <a:r>
              <a:rPr lang="en-IN" sz="1400" b="0" cap="none" spc="0" baseline="0">
                <a:ln w="0"/>
                <a:solidFill>
                  <a:schemeClr val="tx1"/>
                </a:solidFill>
                <a:effectLst>
                  <a:outerShdw blurRad="38100" dist="19050" dir="2700000" algn="tl" rotWithShape="0">
                    <a:schemeClr val="dk1">
                      <a:alpha val="40000"/>
                    </a:schemeClr>
                  </a:outerShdw>
                </a:effectLst>
                <a:latin typeface="+mn-lt"/>
                <a:ea typeface="+mn-ea"/>
                <a:cs typeface="+mn-cs"/>
              </a:rPr>
              <a:t> satisfied are our customers?</a:t>
            </a:r>
            <a:endParaRPr lang="en-IN" sz="1400" b="0"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19628745666551708"/>
          <c:y val="5.0945009800318235E-2"/>
        </c:manualLayout>
      </c:layout>
      <c:overlay val="0"/>
      <c:spPr>
        <a:solidFill>
          <a:schemeClr val="lt1"/>
        </a:solidFill>
        <a:ln w="19050" cap="flat" cmpd="sng" algn="ctr">
          <a:noFill/>
          <a:prstDash val="solid"/>
          <a:miter lim="800000"/>
        </a:ln>
        <a:effectLst/>
      </c:spPr>
      <c:txPr>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03068194253919"/>
          <c:y val="0.23295066280922061"/>
          <c:w val="0.66940386209426739"/>
          <c:h val="0.65727047753664491"/>
        </c:manualLayout>
      </c:layout>
      <c:barChart>
        <c:barDir val="col"/>
        <c:grouping val="clustered"/>
        <c:varyColors val="0"/>
        <c:ser>
          <c:idx val="0"/>
          <c:order val="0"/>
          <c:tx>
            <c:strRef>
              <c:f>Pivots7!$B$3:$B$4</c:f>
              <c:strCache>
                <c:ptCount val="1"/>
                <c:pt idx="0">
                  <c:v>1</c:v>
                </c:pt>
              </c:strCache>
            </c:strRef>
          </c:tx>
          <c:spPr>
            <a:solidFill>
              <a:schemeClr val="accent6"/>
            </a:solidFill>
            <a:ln>
              <a:noFill/>
            </a:ln>
            <a:effectLst/>
          </c:spPr>
          <c:invertIfNegative val="0"/>
          <c:cat>
            <c:strRef>
              <c:f>Pivots7!$A$5:$A$8</c:f>
              <c:strCache>
                <c:ptCount val="3"/>
                <c:pt idx="0">
                  <c:v>Jan</c:v>
                </c:pt>
                <c:pt idx="1">
                  <c:v>Feb</c:v>
                </c:pt>
                <c:pt idx="2">
                  <c:v>Mar</c:v>
                </c:pt>
              </c:strCache>
            </c:strRef>
          </c:cat>
          <c:val>
            <c:numRef>
              <c:f>Pivots7!$B$5:$B$8</c:f>
              <c:numCache>
                <c:formatCode>General</c:formatCode>
                <c:ptCount val="3"/>
                <c:pt idx="0">
                  <c:v>7</c:v>
                </c:pt>
                <c:pt idx="1">
                  <c:v>8</c:v>
                </c:pt>
                <c:pt idx="2">
                  <c:v>6</c:v>
                </c:pt>
              </c:numCache>
            </c:numRef>
          </c:val>
          <c:extLst>
            <c:ext xmlns:c16="http://schemas.microsoft.com/office/drawing/2014/chart" uri="{C3380CC4-5D6E-409C-BE32-E72D297353CC}">
              <c16:uniqueId val="{00000006-4B31-4A7F-80B2-C74FFA79E90B}"/>
            </c:ext>
          </c:extLst>
        </c:ser>
        <c:ser>
          <c:idx val="1"/>
          <c:order val="1"/>
          <c:tx>
            <c:strRef>
              <c:f>Pivots7!$C$3:$C$4</c:f>
              <c:strCache>
                <c:ptCount val="1"/>
                <c:pt idx="0">
                  <c:v>2</c:v>
                </c:pt>
              </c:strCache>
            </c:strRef>
          </c:tx>
          <c:spPr>
            <a:solidFill>
              <a:schemeClr val="accent5"/>
            </a:solidFill>
            <a:ln>
              <a:noFill/>
            </a:ln>
            <a:effectLst/>
          </c:spPr>
          <c:invertIfNegative val="0"/>
          <c:cat>
            <c:strRef>
              <c:f>Pivots7!$A$5:$A$8</c:f>
              <c:strCache>
                <c:ptCount val="3"/>
                <c:pt idx="0">
                  <c:v>Jan</c:v>
                </c:pt>
                <c:pt idx="1">
                  <c:v>Feb</c:v>
                </c:pt>
                <c:pt idx="2">
                  <c:v>Mar</c:v>
                </c:pt>
              </c:strCache>
            </c:strRef>
          </c:cat>
          <c:val>
            <c:numRef>
              <c:f>Pivots7!$C$5:$C$8</c:f>
              <c:numCache>
                <c:formatCode>General</c:formatCode>
                <c:ptCount val="3"/>
                <c:pt idx="0">
                  <c:v>37</c:v>
                </c:pt>
                <c:pt idx="1">
                  <c:v>51</c:v>
                </c:pt>
                <c:pt idx="2">
                  <c:v>39</c:v>
                </c:pt>
              </c:numCache>
            </c:numRef>
          </c:val>
          <c:extLst>
            <c:ext xmlns:c16="http://schemas.microsoft.com/office/drawing/2014/chart" uri="{C3380CC4-5D6E-409C-BE32-E72D297353CC}">
              <c16:uniqueId val="{00000008-4B31-4A7F-80B2-C74FFA79E90B}"/>
            </c:ext>
          </c:extLst>
        </c:ser>
        <c:ser>
          <c:idx val="2"/>
          <c:order val="2"/>
          <c:tx>
            <c:strRef>
              <c:f>Pivots7!$D$3:$D$4</c:f>
              <c:strCache>
                <c:ptCount val="1"/>
                <c:pt idx="0">
                  <c:v>3</c:v>
                </c:pt>
              </c:strCache>
            </c:strRef>
          </c:tx>
          <c:spPr>
            <a:solidFill>
              <a:schemeClr val="accent4"/>
            </a:solidFill>
            <a:ln>
              <a:noFill/>
            </a:ln>
            <a:effectLst/>
          </c:spPr>
          <c:invertIfNegative val="0"/>
          <c:cat>
            <c:strRef>
              <c:f>Pivots7!$A$5:$A$8</c:f>
              <c:strCache>
                <c:ptCount val="3"/>
                <c:pt idx="0">
                  <c:v>Jan</c:v>
                </c:pt>
                <c:pt idx="1">
                  <c:v>Feb</c:v>
                </c:pt>
                <c:pt idx="2">
                  <c:v>Mar</c:v>
                </c:pt>
              </c:strCache>
            </c:strRef>
          </c:cat>
          <c:val>
            <c:numRef>
              <c:f>Pivots7!$D$5:$D$8</c:f>
              <c:numCache>
                <c:formatCode>General</c:formatCode>
                <c:ptCount val="3"/>
                <c:pt idx="0">
                  <c:v>150</c:v>
                </c:pt>
                <c:pt idx="1">
                  <c:v>182</c:v>
                </c:pt>
                <c:pt idx="2">
                  <c:v>163</c:v>
                </c:pt>
              </c:numCache>
            </c:numRef>
          </c:val>
          <c:extLst>
            <c:ext xmlns:c16="http://schemas.microsoft.com/office/drawing/2014/chart" uri="{C3380CC4-5D6E-409C-BE32-E72D297353CC}">
              <c16:uniqueId val="{0000000A-4B31-4A7F-80B2-C74FFA79E90B}"/>
            </c:ext>
          </c:extLst>
        </c:ser>
        <c:ser>
          <c:idx val="3"/>
          <c:order val="3"/>
          <c:tx>
            <c:strRef>
              <c:f>Pivots7!$E$3:$E$4</c:f>
              <c:strCache>
                <c:ptCount val="1"/>
                <c:pt idx="0">
                  <c:v>4</c:v>
                </c:pt>
              </c:strCache>
            </c:strRef>
          </c:tx>
          <c:spPr>
            <a:solidFill>
              <a:schemeClr val="accent6">
                <a:lumMod val="60000"/>
              </a:schemeClr>
            </a:solidFill>
            <a:ln>
              <a:noFill/>
            </a:ln>
            <a:effectLst/>
          </c:spPr>
          <c:invertIfNegative val="0"/>
          <c:cat>
            <c:strRef>
              <c:f>Pivots7!$A$5:$A$8</c:f>
              <c:strCache>
                <c:ptCount val="3"/>
                <c:pt idx="0">
                  <c:v>Jan</c:v>
                </c:pt>
                <c:pt idx="1">
                  <c:v>Feb</c:v>
                </c:pt>
                <c:pt idx="2">
                  <c:v>Mar</c:v>
                </c:pt>
              </c:strCache>
            </c:strRef>
          </c:cat>
          <c:val>
            <c:numRef>
              <c:f>Pivots7!$E$5:$E$8</c:f>
              <c:numCache>
                <c:formatCode>General</c:formatCode>
                <c:ptCount val="3"/>
                <c:pt idx="0">
                  <c:v>312</c:v>
                </c:pt>
                <c:pt idx="1">
                  <c:v>373</c:v>
                </c:pt>
                <c:pt idx="2">
                  <c:v>351</c:v>
                </c:pt>
              </c:numCache>
            </c:numRef>
          </c:val>
          <c:extLst>
            <c:ext xmlns:c16="http://schemas.microsoft.com/office/drawing/2014/chart" uri="{C3380CC4-5D6E-409C-BE32-E72D297353CC}">
              <c16:uniqueId val="{0000000C-4B31-4A7F-80B2-C74FFA79E90B}"/>
            </c:ext>
          </c:extLst>
        </c:ser>
        <c:ser>
          <c:idx val="4"/>
          <c:order val="4"/>
          <c:tx>
            <c:strRef>
              <c:f>Pivots7!$F$3:$F$4</c:f>
              <c:strCache>
                <c:ptCount val="1"/>
                <c:pt idx="0">
                  <c:v>5</c:v>
                </c:pt>
              </c:strCache>
            </c:strRef>
          </c:tx>
          <c:spPr>
            <a:solidFill>
              <a:schemeClr val="accent5">
                <a:lumMod val="60000"/>
              </a:schemeClr>
            </a:solidFill>
            <a:ln>
              <a:noFill/>
            </a:ln>
            <a:effectLst/>
          </c:spPr>
          <c:invertIfNegative val="0"/>
          <c:cat>
            <c:strRef>
              <c:f>Pivots7!$A$5:$A$8</c:f>
              <c:strCache>
                <c:ptCount val="3"/>
                <c:pt idx="0">
                  <c:v>Jan</c:v>
                </c:pt>
                <c:pt idx="1">
                  <c:v>Feb</c:v>
                </c:pt>
                <c:pt idx="2">
                  <c:v>Mar</c:v>
                </c:pt>
              </c:strCache>
            </c:strRef>
          </c:cat>
          <c:val>
            <c:numRef>
              <c:f>Pivots7!$F$5:$F$8</c:f>
              <c:numCache>
                <c:formatCode>General</c:formatCode>
                <c:ptCount val="3"/>
                <c:pt idx="0">
                  <c:v>224</c:v>
                </c:pt>
                <c:pt idx="1">
                  <c:v>247</c:v>
                </c:pt>
                <c:pt idx="2">
                  <c:v>250</c:v>
                </c:pt>
              </c:numCache>
            </c:numRef>
          </c:val>
          <c:extLst>
            <c:ext xmlns:c16="http://schemas.microsoft.com/office/drawing/2014/chart" uri="{C3380CC4-5D6E-409C-BE32-E72D297353CC}">
              <c16:uniqueId val="{00000011-4B31-4A7F-80B2-C74FFA79E90B}"/>
            </c:ext>
          </c:extLst>
        </c:ser>
        <c:dLbls>
          <c:showLegendKey val="0"/>
          <c:showVal val="0"/>
          <c:showCatName val="0"/>
          <c:showSerName val="0"/>
          <c:showPercent val="0"/>
          <c:showBubbleSize val="0"/>
        </c:dLbls>
        <c:gapWidth val="219"/>
        <c:overlap val="-27"/>
        <c:axId val="1975655183"/>
        <c:axId val="1975653263"/>
      </c:barChart>
      <c:catAx>
        <c:axId val="197565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975653263"/>
        <c:crosses val="autoZero"/>
        <c:auto val="1"/>
        <c:lblAlgn val="ctr"/>
        <c:lblOffset val="100"/>
        <c:noMultiLvlLbl val="0"/>
      </c:catAx>
      <c:valAx>
        <c:axId val="1975653263"/>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alpha val="94000"/>
                  </a:schemeClr>
                </a:solidFill>
                <a:latin typeface="+mn-lt"/>
                <a:ea typeface="+mn-ea"/>
                <a:cs typeface="+mn-cs"/>
              </a:defRPr>
            </a:pPr>
            <a:endParaRPr lang="en-US"/>
          </a:p>
        </c:txPr>
        <c:crossAx val="1975655183"/>
        <c:crosses val="autoZero"/>
        <c:crossBetween val="between"/>
        <c:majorUnit val="100"/>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1270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
    <cx:plotArea>
      <cx:plotAreaRegion/>
    </cx:plotArea>
  </cx:chart>
  <cx:spPr>
    <a:solidFill>
      <a:schemeClr val="bg1">
        <a:lumMod val="85000"/>
        <a:alpha val="12000"/>
      </a:schemeClr>
    </a:solid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algn="ctr" rtl="0">
              <a:defRPr/>
            </a:pPr>
            <a:r>
              <a:rPr b="0" cap="none" spc="0">
                <a:ln w="0"/>
                <a:solidFill>
                  <a:schemeClr val="tx1"/>
                </a:solidFill>
                <a:effectLst>
                  <a:outerShdw blurRad="38100" dist="19050" dir="2700000" algn="tl" rotWithShape="0">
                    <a:schemeClr val="dk1">
                      <a:alpha val="40000"/>
                    </a:schemeClr>
                  </a:outerShdw>
                </a:effectLst>
                <a:latin typeface="+mn-lt"/>
                <a:ea typeface="+mn-ea"/>
                <a:cs typeface="+mn-cs"/>
              </a:rPr>
              <a:t>Where do our Customers live</a:t>
            </a:r>
            <a:r>
              <a:rPr>
                <a:solidFill>
                  <a:schemeClr val="dk1"/>
                </a:solidFill>
                <a:latin typeface="+mn-lt"/>
                <a:ea typeface="+mn-ea"/>
                <a:cs typeface="+mn-cs"/>
              </a:rPr>
              <a:t>?</a:t>
            </a:r>
          </a:p>
        </cx:rich>
      </cx:tx>
      <cx:spPr>
        <a:solidFill>
          <a:schemeClr val="lt1"/>
        </a:solidFill>
        <a:ln w="19050" cap="flat" cmpd="sng" algn="ctr">
          <a:noFill/>
          <a:prstDash val="solid"/>
          <a:miter lim="800000"/>
        </a:ln>
        <a:effectLst/>
      </cx:spPr>
    </cx:title>
    <cx:plotArea>
      <cx:plotAreaRegion>
        <cx:plotSurface>
          <cx:spPr>
            <a:ln>
              <a:noFill/>
            </a:ln>
          </cx:spPr>
        </cx:plotSurface>
        <cx:series layoutId="regionMap" uniqueId="{C2FEAB94-DB38-45D3-95E3-30CBC9AC6972}">
          <cx:tx>
            <cx:txData>
              <cx:f>_xlchart.v5.6</cx:f>
              <cx:v>Qty</cx:v>
            </cx:txData>
          </cx:tx>
          <cx:spPr>
            <a:ln>
              <a:solidFill>
                <a:schemeClr val="tx1"/>
              </a:solidFill>
            </a:ln>
          </cx:spPr>
          <cx:dataId val="0"/>
          <cx:layoutPr>
            <cx:geography cultureLanguage="en-US" cultureRegion="IN" attribution="Powered by Bing">
              <cx:geoCache provider="{E9337A44-BEBE-4D9F-B70C-5C5E7DAFC167}">
                <cx:binary>7H1rc9s4svZfSeXzSw8BkLhs7ZyqISnJ8j1xLpP5wlJshwQv4AW8//q3aTuzFiVn6arRh6M6yk5t
JVRDTT5Ed+PpRuPfd92/7pKHTfmuSxOl/3XX/f4+rKr8X7/9pu/Ch3SjT1J5V2Y6+1Gd3GXpb9mP
H/Lu4bf7ctNKFfyGTWT9dhduyuqhe/8//4bRgofsIrvbVDJTH+qHsv/4oOuk0r+4tvfSu819KpUn
dVXKuwr9/t7dJPJHViq5eb99Df/+/o90c5+V79ysVlX//t2DqmTVf+rzh9/fbw2D37/7bfprO5q9
S0D5qr4HYcJPiMWoibn1/l2SqeD53w2EzRPGMBbEFOb4QT9/9WqTguB8hR7V2dzflw9aw309/v+O
/NZNwKP4478+grvxUYwPPwAcfn//Wcnq4f7dbbWpHvT7d1Jnj8+q7N1svM/Pt48P5rdt+P7n35N/
gEc1+ZcXCE+f63+7tA3ifwH4tq6qh0MALE4QwRgjjMTjh09xRicU28iyBN1GeL5G+xGeyM9AeCJx
bAiHG11t/vkpbJknNrMo4YQ9TlQTbMD2TMYnhCOTczxFeLZGryC8LT8H4W2JI0P4jwRM4/0BICbs
hJsWx5ySp0nMdiHGDIMhB+yffMOzlZ6v0X6Ip7c0A+OpyJGB7D0k764yiAYOMJPRCbMt8LqIvwKz
dYJNiwDME5zfpNR+pHeHmIH1rtCRof1Hkkt1AKgh7qKC2BTZ1n63jASEX4zZYNqnU3quRvtxntzR
DJAnEkeGsDMGXv/8XCbixEaYWOZrAGN0YtsWRRCYbQM8W6H9+G6Lz4B3W+DI0P0C3rAuD+GSwRRz
kxOTsFcnMCyekElNiLhf+uQ3qLQf4ekAMzCeihwZytflRgWHmMTkhAlkcU5fs9IQmNmwQqbT5fF8
jfZjPJGfAfFE4sgQPgcqRh/AStMTgiHgsiz7aRaLSWANbpjCNTDSEHK/nMWzFdqP77b4DHi3BY4M
XWC+Ns1DuTkEwvwECQr0B3ttdWyeUG4KcNWT1fGblNqP8u4QM5DeFToytC828SFstTiBpRFiJjCW
j589NIhANqKcTYCeq89+jLekZ8C79f0jQ9bNklofItgSsO6FKQrLpVexNSEYo8Kyt830fI32ozuR
n4HvROLoEAbSfUT4IFQmrIrNkfsgrwXVGAObbXGboUlQ7WZv0+s1tPeMMgvzPXJHhvwieedlJWSh
DhCF8ROGBbXxM7spplHYmIsSYyBu08f5P1kxv0m1/cjvDjED9l2hI8N8CTk7dQjA6QkjiNo2ek5K
TQEf2S9uwx80sefzNdqP80R+BsgTiSND+Oqh2RwkYwEem2IG/MizxyaThRXQXyYCd72Tdpyv0X6E
J/IzEJ5IHBnCl5tSqgPYbHYimGUz23w22jt5ZXxiE8QpExNXPVuh/fhui8+Ad1vgyNBdJQ/qEOgC
e41NG4kxZTxNJiPBESP2JAU1W5P9sG6Lz4B1W+DIYD2t0+9Zcl/98/MWqgUYp1DusYusdYIoIiak
mZ+4sO2V1FtU2g/xzggzUN6ROTKgoV5JSZ1s6kNQXwy4SxNmKn2NEQEfbGILVlsTE/02rfajvWeM
GXjvkTo2xDOVpYfgSPiJRQQVDD8TnTsRFz5hyKaWNZb6vaSyb2dr9ArS2/JzUN6WODaEN+qd81Cq
TXkvD7J6AkMNZBfi5HleT5FG7AQLyxQMllVbQL9ZsVcA3z/OHOD3Sx7ZC7BO84dSbpJ/3nsTmMMC
cxuI7icidAd6+8SGdbWNoKZ3/EyYkrdoth/7nRFmoL4jc2x4q/4wJAk3MYTh7Dn5vEOSjKktQSnn
E/e9nqnPKwi/lJ6D7svvHxmyN0kNGwQOMI/FiSCUAeP5TIDtFHSaJ8LiwoYasW0bPl+j/ehO5Gfg
O5E4MoTPwVEfAF/7hLDH4q8nMzza4a1lNBCcY6YDSvOndQUz9dmP7tbdzMB26/tHhuzFRuuHA2AL
K2gLyja5wE8u2Jz6YMhWULhsAfe1PXfna7Qf3Yn8DHwnEkeG8CUk/R7Kh/4A85eeUEYZI+ZriynY
NQNrKUqmFfdv0Wk/yjsjzMB5R+bYkN7cQ3nQQXCG4iDgMoHHfvxM7TTMZZNCxtlCk7XU5WyNXkF5
W34OxtsSR4bwRabf/QFFnMnDIcIt68S0MSb8Z5nfNFmB+MnIg1kM6ofGz2TZ9Ebl9iO+b5AZsO8T
OzLsxwxNnh2kcIidwNyF2c2fnfV0fkMcJqjFOJBm+0jvt2i2H/WdEWZAviNzZHh/qqFOLD3IthrI
SnLgvmA36+M83om7wZ4TjhHiGKK2l9zYW3Taj/TOCDOQ3pE5MqQvH9R9dncYFhQ2No/ECGPPVNh0
amMCRYOMEiImYfiblNqP9e4QM8DeFTo6tMs72IPv/uNNCtgJMamgnD5nJqfuG2a1xZEA723tc9+X
D3P1eg3tLflZUG9JHBvOGUzqfx5mC52A2QbOC9EnX7xTewA73S0MJUNoYrwv5yr0Cr5b4nPg3RI4
MnSvNvkhVloQYUNu0oKdNE+eeYc1wbChDrJWEKpte+a5+uzHdkt6BrRb3z8yZIElOESeApCFbcp/
G+fR3U65Tow5FxBibyM7V5/9yG5Jz0B26/tHhuxNsrk7SPcYfgK4jZXXz/H0zqyFEhI2ZiPxk8me
IDxfr/0YT+RnoDyRODKcP0rYJqfl/SH2TxFYOpk2Ic8Zi52lE1QVENhEBzshJyC/San9OO8OMQPq
XaEjQ/t2c1dCRxlVHcZq2wxaUFiw9/HxM7XaUKBtifEPpLHGz4QSe5tu+1HfM8YM2PdIHR3uamwU
VdbDPx9kEzrWbSPL/Blk76yl8Al0g+MmbGrf9ta3m7do9RriO2PMQnxH6vgQh5IxaGF3iJlOoUcB
dHiDNMffPnorPhtnuolNKAreRfwNWr2K+HSMeYhPpY4M8U8P4eYQZaCQnYbaLwrpjle2VsEWStjr
DlhDh8c9dn2+XvvxnsjPwHoicWQ4g9V858mH4BAT+7Ggl9lQEDhdcTEo5Yeef/znlN+x5PN12g/z
7m3NQHpX6AjBXkIvmjup77Kfz/yf6NLKYNOGaTKo9HvFhOMTCxrV2pxMYvPxkf+t0Zxo4nW4d4eZ
Cfmu4BHCfgl9Zw8xxx8TmIxBHeArYTqYc8whE2LtBOjq3WylXkd9e4iZiG8LHSHaZ9mmqA+1rRI2
VVoYpvPjZw/hggX0KxLiqWJlD+pvUO513KeDzER+KnaE2F/UUr+7/i51foj5bgMLjinsjAZ7P352
sppQXAgMDbQN3GPp36ja6+jvG2jmG7BP9PjeAlifO5vy++YgRWnW6MzHndOvhPBjUzLBIYiHhjeP
n5+hxlPTX/D5b1Pv1fdgzzDz3oI9gkf2DnyCXfXQgn9OSPW2jvzjBl2oCgcn8AzuDjGHYWsA7M2G
bkjbuL9Bpf2ITweYgfVU5MhQfppKbnKYeQ6EOpQcQr+y18oa0AlE/AiaZEw2gbxRrf1o7xtkBuL7
xI4NdflQHsSwQ1cFakL9GX+i1PftHICLYPr5/uButl6vIL4tPwfsbYmjw1nHss/qAxhx6OROYDmO
fzbsh2Btm3PFJxQ25ttQXL5txG/lfJ1eQ3kywiycJzLHhnSWbA5W+wDZ8XGnyP5wHbIploDpvMOt
z9boFZS35edgvC1xZAh/qsFJHyItDh2CiTly5a9UFEMwjsXopu3JTJ6v0X6EJ/IzEJ5IHBnC37Lk
EAtuOIiBwQ5riKinJhpsOIMdIdAUZ9tEz1VkP6xb0jNA3fr+sUFaf4c89z9eLjxWhiPogQAVZ4+f
nU7AcPQCdAHmsH1vguxMfV5B9qX0HGRffv9/AbK/VnHrhsfDzv74+Wz3JEDeekodNDSBszIoECL7
3ezIiCDofAO472NEoKX23yfrPW362KfTflRfym7d49Mt/vqhHOYYutePqPv7qD9vU20Wj4cEvjil
7tdXH28fzjaciD7vktn3wJ4vre9/f29DeuIFqOMYW9trXj7FJwT+I/UA56L9/t5ACPrajFv0TDje
yIbmnzBg+/B0CQMlNnaShH5WHN6CMdeh4Aym8Pf3FgRYaCw+NUfo4eQkyIXqrB4vQbMUKGfjsLsL
zj6DHlcC/X1+402W9EGm/n4gz39/p+r0JpOq0r+/R/Ab+dPXHlU1bQEpc2gfTiHWI0DQg7/I7zYf
x4MJ4Nv/rxpIlhd13V2plohF0/ph7mQkYrEbs7b5QA27P4u6RsUL04yrb1VmNZ9jS3eFo4Uqvr54
evu0ARZoqg10+IGu9rDlAU4GG33US20s1eexCOvmChcKXQXxoHynZhkN3a6pMuE0rVV/Y01uSKdM
eVW4RVTGgeMPmlku1Hyqe1FV5jWMEdYeThL0ebANjlY9tf0H1BuoW/5aYwxdpnY0hk3VsG9e2Ay6
zJkTjSULAdu+uiKdHQQe7YbkcwOxM1lWrM9sp+k7FHmS+dwZGO2l08cmWaVN2SOvbLLqPuy0Rq40
ctvTcDhn41RpaDYOK+04WARZFN7EtThLtQi1B55BfNFhcR4nrd0tpDbopSzDJl39+q52YYDqVxN6
8sCZXJByf7zpFy8F642gNfJEX6nKF1+ygCPsWDGGVyNXdXfTdqW4zX2U/Pnrnx3ftZfvIux0gRbY
jEBPdOi/icmo1ouftc0usHIdqCvFB3SF4rC+Urp0JffDL7/+JZg+O78koDqIQTsDcKh88p7lyuqH
ogyzK56b1qZoszJZ+RXvsRPn4cIs6mRwidnzzI2I3ab/7aUZX4rtG4UXBZrgWHA8AzQnnP48rLtk
GKhUXrEitjdpVNubOBl1sIdUL2iZZU5vAvSrNila7BRxxh6qROh1K3rroqOkNF3SRlnsRkyln0mZ
Y+KFvO8fcqPJPdMYUubaIrPKU5vQoXZ+/fTGdsVT/dloNoCph+P5IM7cBsqkta1s2zcuUe2nG1lW
OnCQEVfKckjfq+CsDWX8PeAiv+iGIlzSzOqki1HDflRsGDK3DwPmWlnUPMiSsPvGzkN29mslLXsH
ZGIReIlGwhkyyTaDsOjl60RLLs0yrMhlZBW5L7hXiXBYdVVHxLJq6totu8L80KS9XTthGDK3RGql
cZmvEivHbpwU6cc8sdPOYUkbfG2jNFv3uqqc3C7yz1TH3PML5bt1FkXSkRWJWsePtLpqc0NfF8ZA
FkGAROQYg69SFzdhemrTKvmIo+Am6BXpnKRmxVXlF58qnBrEow2GByl7DLbBqofBMVseXSShzb/5
Zm2dhZSjiyHoGuG2Zmil0LW/l2uDl33qtD0fPNTahjdE3V2ui+q2Ng0WOm1asaWvi3pt+Rh/KkLU
xiufGUg6Qxj734HJLRtHqsL4q05Z6uW5xus4U/kaFSK5l01OYd6TNL6Vwu+Y0xRWcFb6Ze328BxW
yMLiumjTbmG1ZbFEqEPNIoFe94HbtAEv3AaH/iLVpPTqXFyHvhGYHkJZdQquBreuMiPq8Iolf3ap
GZ7jUuS3NqnsVS0iAy81TYcNp1m50GYXDcsm5sHS6Dpzg3XS/tBBntvugCuzdlSAm2DZVVEGk6Nt
F33Q1HxZZn7oJRVJTxV81YF902UGDzptmBPpKDJc5rfMYZndDY5VJb5LKkOlq5LGi8Cqe/NDS5AF
5x2XZuJE8CZVS1K1Qq86wroLGg9D4n+o26JKU6eXSa/K+9APMR6+6dboWBo6ogRTnt3hPo0qUsK5
ZXWdm1dVXKVxdyZkMawaUVf+Oi2lzJ0IJ9mtyQyyjnpCarcGDHynL0zRAVwp557yffCHVRK3xYLG
bWC6ZVIh/zosTMqy07hnbej1XSKqC6orAm9U62dIt24NvnBJjTDyrxuYOjRwC55zeOFIrNOlSmQp
nKQA5+UvukZS1/AhcrWd3jeVBUcn+GnqhqJu/WWbsCRdaB+igqWtgnRw+WCDxVQ4tmo3DUsjcRrd
B/pGSyNNF1kg+Q+jbpg0PTPD1UpavOZXtuEH/pkirGJ25KpOF0N/qoFbLMNFHoQsXfi6GYqlKLWS
yz6haX9qap3mro37RLqss/tkVcpCGi7Air8aeTogD/YCxKkH/5nGdRKZhoZHrtTXKE1FuialqJJF
HFb041BXhCwjI8PoPGxDzZTDQhxWK79scnULzpicRcGA42WdgwaLrEqCYcFRNwiXR33eXqa8h1fb
gKlSej5C9VlJbDvxAp8EtcdUA3BKpiE+UUNEhockhk6XHgcFUo/0aViskSmt00CymLo4jgviyUz6
3lD7se0YbZmLm8hvI8slsogGJ82jwTg3/cRaotwPbFBXsHyB+nDI1qFEbbCIhRW2zvg9BwkpFLw+
ASncrpXG4FSdNP4qoe9ZbzgS5hG+QoOSg3R4YxnkU5+0uL6iuegzT4miurRrBS4p0CwGAZESeFq+
DJH6NqBEhWdFnybdUrf2IM9RFVSfrAjbG7vzU9/hCF7eZa06RhaaDhKUr1GUegkpYu3y1l9IJItv
SdtCZBEFUXOrbdp+z8uQnDasDfwFj20TO4r7MI6dZFG3VGWDroYuJ9YHXdnoE6oM+EZLDc3dCvWs
WzQ4jeRp2WHcrhULNL6WBhNflFmML2cUFXrFEh3qm663Ku6aRQvYhK0CxTINRvccPJj4QrgJb3cK
VrL0YHtul60rLXx8E5V1HH/EXAlr3VlRW19WXTUGn2Hf3dixQbtF1qbw01k2DI3T4bQaVmbMxpsf
VW/BPoFeeYquLFvBXdSFDY8qjLN4cEXcwNTJkyCWH1TJYMqXNUQFAVwDm4orFV4XyOpL5ZA8NAHu
tuzqy9QIc+1Isy66ZQdNf8iibwo8Gg2YTC7cERiQTqAxTq5U+sWHoyrOeCMld3hox/Be9AHdtIqA
Gl0Z9R9J1Zn6PIAwNzrPchVHtxy8xUorE10VIii+QcU1LZzQCiU+y3gg6nM/zILG60tWtBDg9mSV
Y3isrsmK/i5OYvumq7WZnRZm38RfW5oG+jT1jfRHP4jRhsgiCT1YB3CykLgP9TKnqfhqmH66TNs8
KBxmgZnryzb8KLNKn4s0jmzPxiUOwOzBsbNOE2LxpYyMJlgkWME0GQyfiLWlMlQ8pGCQ+zNo/A1z
ox0t9iKyDXiiXTM0C3AybXGOyhpT1xdJ1YCnJY0JoXcR/VWKRnwyegjTzwZRlei+0qrXTooQa9ay
xTBUl6JwcK02oME6B1ha14gFXQ5Z01SXXc+S26jRhcOZPrXSrrFPh5YCOLGJ9LDKkzjLLhXtrAuj
Mq1sERYqbc6Dvs1Dl9s6DT9BJKLvTaHAjIDp1I0Th7rVjmgbXoAX6IvbJCiQ/BNlA+GNM0AE1n/O
K2IIGEz75SJkRhycGX7efg8D02jchGkar6Uw0YdOG/6wKutCy4UcanhJJa4ictPFyWBfpTRPEqfI
G5NeWii0OreH6EYv2jAH1FquZOCUA0vBdmidLFBHutJrEszL1cALePtjqwuY1/u9qV0/17T42to9
+hSFJbxr4OnEF3jXU32jhEJgYHEuoiVPQ9o6Xf0N87rlyInjhn22sSpar7WDyrq0/IQ3HwtfixKc
O7zRi1wSQBMWDn13IUkVZxeszENygzszoWu/ywTcV9cZwWVcGnnrpdoHmwHRWF1dJokP+pciDpY6
5HHotZ1prvvCgnnfU8qkY/khu3yMSp+5i5unIP9pAX6X5X0pg7Ca/PV/PmUp/O/fo8zf33mkKf7z
t0t5V2Y6+1H98lurh2ysjdHTL22NDL/+rN1IX2z9ZYdKeYUs+fig66R65eLrTMrfO55HpgH2RxMb
CrxeBPE7dMrPjqo/KbZtuReEikWxbcKxZ9DhiliwIv9JqCAKPYSBMoN0MyxNXhIqhEAfaThKHgw2
CDLoKP2SUAH7AtQpbArjECdAI+mft7qFJ5BIz3/fIlTGVpbbiyMClQ0Yw+1CnhRqIEbG4MUqloVF
qTqj6C87kudoiWKTs8uckdz/YQ6DsiFeq8wqyx0iTTacZjSOW+X4XdQuKLXijz4OW48rvz0tYcHU
O9Cs7S6AuMfNhL8pUXwb+3F608dx6BQDxUtiowDMpKkvM0p/hDmPvDjFqYOUlsuwrsmCaVkuKgph
bpMi+2Kodbo2VFIVDopj1bsd1aEbRUF5lZuIOI0UFxGt4nNBpfJ03vbL0ha5UxVx6iSpmbupQKVD
EySurKY/i215wbPKP09lEi9jQ8ROIAgGJ4Np4qSx3S87wUIPvAt2C9LFLopZ7hVdIpcFr5VnWsa3
hKLrnHbqjIX1J0RD0/NTCwIRSXM3EL1xVUb0rlVJ6hQZQ6vMjn4MUfQXa6VOHatB6br1mX+RW1H/
uUwr34Pl/WWgSbauw+ihgjjuGy5D88OQVNmyoUnhMZ1goGOysAB1lThvDB8taGsaZ1bemRc2EGor
GWLbCcqaXpSMfeBJEN2mKFm3Yf8JCBvlZJayVibPPjCaRo7wS+UCpUe9MIOwYYgZciyzRU7Xx8YF
CuvUYX0Z2t+aHDyGb5L4vPJ7VK2C1OjDxBnKkpbXIWDXQDgoL3uIkSAQDJAfFG4EI0HgKYzqOuei
MByMmWGv86rHnwxcJ3KNm3g4KxslrmXT54WTDTwLHAEPwb8Wfha4sCgXPxok4gucCQ9B4H5rNSXq
vIPYuP9t1mtsy/Mr6/VHArb4fjM1Xk9iP43XuCtt7PjyZGgIA+Px03jBFiborgpFNISA8UAYLj2z
wQT6P0G+HfYpW7DFCYhkuPSTDYZKeuibDXkf6PcF21oxfpPxGs9/3TJeNpxIBkccQUQECyY4dHJC
jPEuKETNw/o6klV+xhNhXYI1O+cqKVy7Lr/QNPWKqIpPVcaS4SHMdGF8qPseVqiDdGFxlHwQYa6c
Ku4/VIF1luk0WxaJlg4aemA1Y2SsZNJYjpWHyyBuwjUsnU03yH3LgeAmCF3RFGqZsjypb/sg/ybC
PnMMaDrsMFi/RG6OtXXWdMZwZueqC3235708q5PY67FvnFZG+QNm8wCEqumvepQBtYNisU7qoPmS
Q8b7HEsaX3KigLmQt3lNwnzB095c5ohLrykN02ONUF5GBuIlicQOpgKCHSTOY1ZWiyJArl3haml3
+RW3w8ZpSCaWTTJ0juFXsCAKFVjuVl8hrYVbqeJb2QYXPWoXodl7WONL0wrO26EKnSrKa0dCIOdE
nLttreuFAoSdwDeqBfxY8MNvM/pXP0SNvyzsInSA0YHFdqjRqSjrj2FMbnlkqnqd09CoPkikilPg
ZFxVhPS0sHutbmllitIJa581DmG+tSKobSLH9u0fsV+367GSaFWrOPaGVN30kb6iVn6mkvCqMPE5
r4xlptszI6VeNkCgVCjHjAbXlvl9q/BHWYlv/2c8HkOfMRP/28/AYif0eXnS49SC2OYo+8KC2GOR
NBEIQaPlkTt+YUHAQNjg66F/+lOM89OCQFN1k2DIUYBXgJTTeDTKfywIkO6Q6cJ0rL5l0BL0p5Yz
wh+gsXctCPDp0LUK0h7wZ0xqvQx/RMoGoRq7uU4aCcyfWxaZeZZ0yDpTAxClbkTTz30UYId1xgVX
QFxHdto4bQReUxmmg6roUxdU5zHvbhuzu+h9FDl5SIUDiwJY3ckBSLPqS5v2Vywla1tShyR+5hRc
X+ddd0bzmrpdWqzlkLROqjXQX4FwfCa6VUnID8KDym0fX2QZ9y6sIPCijI3CGbi1rKOIu1YCZKLQ
4bee+qGjE6tfiKpPPbPMP1m0rh2rNrAL6RmX5IPp9m3lWEHRuKXyvyYCeRWmvVtq7dmy/U7r2In8
IvXgcIO7ImLSbaj8k8IC3YG00pp0HFbrkjlAQ/1JA2vFWT64fkuWIS8Nh+j0FNPG9pqMn+oOjG8P
HhvYm+57n/nf06q7NscAxobUnDSFdFMrXsVxt+aQX1iiri0hyWRkDg/y+8C0bK9D6s8cgieHhA3x
/Lp6oD4ernTcb2Ru++e1LYEHtyEECQO6MBRHH7FmpWcBi+rKcb2d6U6s2jY+R3bRfOOiKYlTQ1Zz
CWy+O1hMLiyfZcukJ6abAKm64GFoQoQ1ZE6Nlb7sTd5BgNqUS57J3PMTo3creJudUsfhwpDA9Pam
9BfK1PJcmlmy4qKtbrHdDF/aoQm9zAR2JNaJednTlC2HNo6/ZWWDzyRj9M9Gp+lHXaLiJqRYrjkq
u4tC+MRr+iQ7A/airB3DsqILv1X5SN51F3U5JNgZUtP/3nFpcFhtGsVaYfNDnAm0CMM2/2z28OBX
PkS0fxmRCH5YPKkX6Wis26qvFzHY7z7FkBQdTXozGnddAi0G1r7qB3jq7aIAL6DBG0AkL1yjqK/K
0VH4o8tgZtM59ehG2OhQLPAs1uhiitSEBM/odMD7AOsbOPHokNTomujopAYrRl42Oi42urDs0Zth
ecue3Bs4umx0efHo/ARwx2sKLSydcHSNBgcnqcFbdqPbBGrR60ZH+n/G/NGY25DRe92YP+393jXj
o9QLMw7p9rH+g0Du/THB/7cZJ9CdmcIRVpDif17g/iwLgI6ANrSx4BaHiE/ASYT/MeNwtii0wBgz
wJA+B/qev8WMg/GZmnHITEJ3hXFvLubgTUYz/2IVqxI4BDMBNa4bEcbaiwj5HNjmaaSUAdFWsECV
BWGA0fSO39Trru2Rk6WYLlAjziobCO2cELQMov4TN7JiVUdp4igkEyej6SKq87sAdwg5Q1V3/orS
rDY8YtRfNB+sj5ApaVe0pP5FaPV0HXXMowUmbs6a8hKyqrVjBzhcdgx9r3z9wwQzdpq36qrEEZIu
zXS8kF39sUfdB9ZE9EORp4kbxC33zETVTskprGOFKp2ghmVtL3LhpKAV7+JlFNTGKYqYv4hSsMq8
lvdI4a72dONLp1JRc0q1HzhBPvhORYD+jX2Frn0cZcBcQbVCFQp1ylCCnBx+fpCJckpmIvgVWToD
EdwpCdB3grSXCfOvoyw86xQ+rcq0gOHxpgKK/JwGPlRhVA2UD/jRx8zWbkwzWKCallNSErkyLfrV
EEIGr6zLBa+L0C1D6i9MbnzOB30LKadToIn52i6Gm7KNew/okq+kYHdZmV0VEEJAQBueQVhwY1f+
p6BRkdOCr2hgfVjm1tqsxaUN4TiEqwZ1kbIY8JXZn1GbnFElv3VRpd1eGD+6gIduXYklhPR/2Uo8
5IpBVgPoYTdSFXcUhcfSJAS4jjAIL6QECiIGxvEvrLIb3kdfYpNB5jKFfHeioKDBAFO/SDMFbl7r
r7TR3zjt3MzC2SIOZO30gQyBJC++ZETEy9RMbKfjNPAgNfgpA+iTBDfElY1ZLdSAGpcmRuZCFu8m
10AcmKyNFuVQ31l59WcTxvdpoKylT9B97sfRMuzC6kz5QA8aUL0RKNYsaUd8dyg0JFbgdV3Vpikd
07dS8MCosL3cImujFmIV8DRyCc9gImT8Rw+hjBXr7yRvIfsH2cUFinTs1VT/AJ9DQds+dWHu5y5Q
7MlSDsyhoS+AdxbCLSTMESAuIYOWhQOklQqXQPYS0rvNKmiogDR/d00a/xTb6ibs1DWN+dowJHCo
awgP/PZSwJjaqm7zoq1c2rObOKVfmUivY1UkTkui3vOjbhUjBBkQCUclV3+yBPiWrKtKJ4tysdBM
lMA2VQJWKGqZxfklxvVKG+lnHdTruAguqjRPTxHWLpD2NzhpTq26jR3WCnjbu+46TfBwBmmUb6GW
VzaF9SA1W7aOCnaBRXoFS8tVYpAKyOMeu1kcDw6llfSCEHEX6A65riN5gWt5gdL8W4Kg2Ii3unYo
8j9bzP7/7J3ZdqTG1q2fCA96gsufJlulpJRUUkk3DLXR0AQQQQDx9Gdm1bZdx7sZw/e+LKtUzgZW
rDXnNxdP06hu/LYOt/BO0mIRXpxHDM3N2OkVfUtSZ84EUSVsO9i9dsmdtb2b4+rJVnh9Qz8pdJEB
Sg9+j8LDyqhuil7U+8qOnwOcmdK3TZ8Nqb9zqbQ5W+M6S/Gx5kazJ78KznoOKOS7aS2NUGFRmzHe
1YP7BXjzGHJ+xUETZEvTBrish8Jt+bONg4eqwvc+VjKBG9M4WS28u4ikz14l2owG3dl3lhljMvmK
02mrrbNmA/yv0lfmPLJpW3X+g2Hq5BoHel9PDiB/BvS17bkZumJJuHNgc/ONRxqKmkYjvJLS0GaF
7+dHuRiaJo+7uS6bcJGFddnJdrODQVAuhTM2X9RWD0NPg2z1/BpvjvXbhYmPsY9uqPQw9pHZFmHi
+3kHnu04U8fuNOk3yZzQzA72DMdvLh2j+7xO6f0S8HLynV1a9cc0bc0m7McD8DiGU4DBeR7adRvM
8ZQ3sYw2Vbt+b0d3o6n7OqiFbxefTfAJzXU8td/Q+13ZROJXfXSXJtyMgpboiI+8H3dCVXpncRHl
s415FoXudk28d+v1p4iiZi9pUMaCoYcaP7XgMO2GV7vQMuG4O9U65dgD+CxJV1Q1qbMF1mRVu7tE
o5pSvQkNLgIX9SjASZHwhhRR3TUwzpKHfuInG0aftUah5EEsS9Mk8K/XJdOWn7xgHrNFpTdjaunW
D+fHBtdtRppQ4EYZGbgIJ8ONdh4jYzALWLl1V/qKs3MsJWfoUqF8lBCL4htCHLJ18Nyl7ajG77z2
7qNuanJp029eop9FzWAXoi5kSuPSaJLeQwXxNtYnb0FFMPak4wav720Ug4SlKj9UZZssFZ4pOhbY
axh9UVH1wy3OvNMc4mcwoY46Bc6jzYgpx5Fl2k4fVVz3qKLDR8C6GyFSWDtOVefaVCevjzEX0ZVt
Upmagi46BAszQdPUqGAVia5Z4uIu63mXocdHq0p3wEcYtOm3wMGYNTvd/Sot23JHvEAefo/mJA9Y
226rqt6ij8B3UJl7L+q9fDBDcrBOAvGT4SjuwhrOVpjkHBpTHjueukltWNC1/ardWuaknW+WpGoy
5dArN+Btnur+izgdLaG6Pc/S8UpnaCH0dvFrzaIo66nzHRBYdR5Jd0I1h/97Cg3bMh5GTt5MjOxd
XafDtWwayeJs5C6lmeCDsSWeDz6wq3/66J+iyP/so/+vweXw+e99tPtLHw1GGnslgku/jOeyQzj9
RQ7BU04SMLdR9BOihXr7pxySAlfAY9yDCB3uj+72dzmE/Bb4MaJPeEgZvJuLh/Q35BCE4/7aRxMo
LmAZQWbhdXqXB+v82kfTEU2HCEhz43jDM+UaLvnUvHlrtG88nE8ixhQ2TmUSoT8xmGYDepWuw/VM
WpAFM2SMlg9tNlEnH5PJ36AH37gyuJ+58UuSyCk3dL1y4XfEDiwl7ulHTvw+b7zmikUDjixn3DW1
em3jhWaTF35UPld577Q0p9FyXIj5qCfcoqSGOolqU8Yr2k5v7XAlT05TjG20FDBkdZ5MKYrl6sa5
lt266SRO/jWKCp82x2mJcHBQ/T0AXlfAKf+QbnyASnSxebo+o0bVWYvDJWKgEbskvbWp92Qqi7uG
8Br4nTOjcGn8MRY8t7T3s7alVZZU+wBleE1klQ3oHDN/Xh4toyeddMceZwvDe8rkiua69f27mdeF
obQt684/VZ7/UK2NhjgL5wVbI8HWKgN8r3ZIFobBrg1WjtrUP5FodPIY5XeieWQGTu+1L/oXACKP
qw3no75oS4FW28abQYEN48tCQQF09bbt5xh6UCSzcIZQPQXoH1lFToz6j8GgII3w+cbBI5fKup5s
4UeWljYFgEHH1Nk6croLHPYRQcDaAkbJPSAmRxm/6uUVHA7OzPhVrYHcTqO7bSb0oWOPbvkx9Vh3
37hNX39yaj/mhd3ZAE1vMvUSHTbOAgKnUFxXuL5RqTp3t2hf3vhjld6EbaUOa1rlYQq5eU5izB6r
yFzm8pyF6XodCAvvm8t23gLje5q7uUh4y07BIj9h7eM8lDQdMIgQZrN/6tzPOodB/b/rBf/Xvn7I
8T/UOfzWH3rBj2IW+hEe/IJHpXpYaviHXoBtxX4SxpfHwfz/vhH5DdupXQT9fiq7v6YIsN7aw0Ye
ENA/xeLk75Q51Nm/lrmL5usC30ZYJcGTXPHyfi1zso8sfN5K3bhN8FBLde+r6NiG6lwvPWZLE7ID
dTHpeeFOrKso2rquNpWJ51wvU5W5A/zKZJ2nAnDanRtadN093NM51HGmrHfW7gAEPcW/1aERLBvR
e/uUjj6U4eZ+TDC/2k6SzJPLyRlcmbWd6NEQGid3lqgqEp2Isrl0XKOeh2u3ax/woLTolBjbXQnf
15AloN7RCreY3yTbUMHzIUbOeczQYtixe2AdgSHktOiARrUfejStRNNS1SDYkrD9BOf8CEbUyRo/
2snAuXdsjT5sUCd7wcFsRN+ALIhsiCaow3Iuu3EvvCuPBh+GvY5BrlO6k7KixWwmMN92Qp+41k3R
NUtd+Fb1Zb+K19mizGNS+5j0fPB0P2epizc0mmqvRnK7OgkUja507NWkvcMSkpdIxHvpijBL18gt
0iS6Gul4y9tlgW9OoDMs3k0dj01G3an0iIuvJEhUpilV+2QM3Qzk551P5/CcOux98buz6gjAryZo
0HExb+MP0s9UYjw0mTjK+krqsqlHgY4a3vfokiufs/068TCLRlYI0t0ttULJsZNXDgFQdcyBKwo0
GOIY7WVJB23uqXaDvPLSJ+pIkUEq3g6uOKg6eQhT++o5tNu2a50BpSiFYWkhfVZnPdjRrA/73ewa
P4/1cAg8vBc7Dts0wIxeV17n3vah7u5JNeB/jI68r+WNDcd3LmcJD925xQX+mkouM4wZ3YHV3vdx
MKcR7GvhkBBhjjn4XObpE3DGulF6waioSLUDjvrW4hbNJF5KXsNm3PB5uo98qo4tcQ9GiOfepkc7
eFDOJNvK2bka1rXPlEsuo08FCa2u5gzWwbUWFrePeWC0ehtYQnZdAABYOO19ZQOWLf70NAQJZnFN
dySSB9h4kNYgiG+I6vYxjb4BdmAHo7sYg6a9x785Xw2wZcADSllqGo/5D/bTjIB4vfTy5S3Bmrtx
FRdeFT4pKcbcWLgdSnXdQfnTki9OkmRs5UPWqEbndlHyO3UruusYG29FHKWQF4Zi6VZvQ6b2kfhW
YLiGUmeElylfcnxBfVdWjZiA/tUcd7v294pjtJMiZsXoT3vXEnc/ELZPvKrZYuQPsyEO1gxlEYIB
kDEltM3k0O1CPeyEExdCWg00W8McbhxIilGoc6ChS7aGLCnAPxQ6xAALILRwwuhWwA2SynzzFnGM
xukgg/U6Dcd7k5gJulO7ZRhqsq6tbNbV3rVZpm9cgvVoVnbbhtO5pvMjqZeTau13VcERqRFNylop
HoHvH8LF3a1KPWgSu9kwdW7mShlkabNc1WooE3eUm3YlKvPH5VSNwRkATlMus1cmfn/wp6nLVjV9
hVH1wql3g4zENSIdt3CO0KMZ9VZVEbyC2n5vGLqLcCCkBL/6otoEwtWKQUr7/YNk4XFx+stEiqsG
GZ61fgwmEe14GHfBFsl+vwSickgjLv+BP36iay44rv9+hCNpManX/3CE47f+OMIRvcZ+Ow+6/78U
+j+PcCw9xToFgke6RdiCB4rjj1ElxXNZkR5EFD+NyGVb5p+SP/ntMlgAGgGw+fed2x+S/q+ppAh7
8D08ExIcyWW5w+WJJb+e4ZA+KCjmKrypbZ+sexvLNngzLNDVDQjZoG1PDhIZO1IlTe5M7H4NaZjV
cdgXnT/BuK0gvyCwVJdTqsNCRa27c+daFGQJxnwy8tVbLc3hML5CUl2KNkCibVTxsWmBNw2VuBUD
sFBa6bJvVZgZAjSVrNbd8TRWBaaUCnJeDavYaU3JRoh2LNbHqYN87yX8yXjxmQfdNm5aqJdL0Rm7
5QMGLuO2LoqgPFvcuTKWexWqKOONBHUPwSRPActmfLSvqRjPcTy4uwlOBm5Z/9Z3dXOaQis34NG7
wq8aiSjI8BVU9HUSGIpaJyn1+jlDYiugZ5TGCWjRtN1p8cOnvqMo7mTud6FCAGgMZmhjvceyQGIC
sQQqq2eWY2C5KP3Rfk6k2kzSHL103noJUJJeblWgyhGJFVgbBqGPvs5HE3zqFPmkGRUqdTPfBlfd
ancWigkGxQq0R6Jz0/IHMjUdGJZ+1yJKuEjx0KROoXV37kf3yJwpBwALjDpqzwZf6dSGiL4tfOy2
2vHIhsT9wYvat04xHPRg61yTXiHU0MEgr7r4gGl8PHuL21cvYmyoXwK2o93ZsXrtt63XrWgoavc7
6JVUZrGp3/0o2CxsnEEaT+/w1zeJn9J8Jvgxn+bPIfRULuAuZ61Zdnpl12FXkdKZl3UzaPY1O/GI
aXF9jt30Qdvl7BnvBdG3gyvtMzcizeNIAXak4Qf3l8Ps0vWlYUONZFaPsFkANM8g6BS5ODWi8Qzi
e5eMxLlCBOth5XhbQI7QAlJyUy0KLBOzqMJRMTFdw1+PUxCUq7uzyZcnZIj8gn40GvB624d+0SBM
UQN63EYORzYKKbPegx4Nlzt3JHun9WAhG612Q2b0pWKFIOioZz7LncRtk3ekWzKESbI+URaHMyZm
D6D2MocVWhTndq2c74BGwTYEXiF88S2qGEUUxU/QnOFoRLYN6PWuSeoETY88dDBvMoagzDSQKGNx
/aUYsME2fDWquoobHMv1Kq7RrBx7gABZLNNjh1RP5geBAWkIe4hxlglt5u2wgNjWLPAyP8U6mpo8
Q4ot2ybau4o+B3XQ31snZpArIUCi9/2WOOx+QaftpvP3gYV837N0b5fhWFHSHyupvsew/JADvXfi
eM8CcuOk6szc+LMP7XXbjrta4tq0MYzz3uumAqG4O2PktkaOgE58OwqWlvUCLR93T/yijNozX0x3
FTEMObZm0y7zMdZwAf+ZTn9Mp8H/PNqwGg1b68fudfzAIw///Yi7/PbvR9yPsDs2B13OD3DH0S9T
Kh60AjubwBu4uNTIovx5xEX4CehGRDTxYMMfBNIfcFLwGwG0fZHj8LziBA+n/jtjKhKqfxlTEbYF
l43JDnili5Tx5ee/uNrpEjk9nsPGrh3En4rItLokdg32sVmHF5AsyFHqQY+AmzFIJfCMLXS5ah6U
ALNUizK1sXGvu9EPiw5myeJCuHfNeZmJXF+hRHmYb+iC2c2H/WOEj9EgQIp/gf9qqyEDEDzYPSz8
kaqt7p2G3RONE2qEC4vJ1kncOLPUiodWNuZbqKnw8wbC3D2MMWQVfCHYpu+b0iKLpnYr433WRFPy
2HnGgTuK+/Wxb1Pch0HUQwoPYYLiqAbrlOM2JbdBbfrnoB3EsxP10Q5PpIPg5pmmukFjQEnWEPgj
VoHJztH9QiEkPK7yVPr7jrpt3gZiOiFS2l4ncWfucEayEpkoP8Tp0Jnd5FRRPjUDgbvbLog06VTa
zACeRoCW8CjJhdckdzha4KlZ3fJdMyb2vfURfGU0BKyYr+4Qjf5mSiPRV1kYTLXcExPobTTiC4HL
sjjmWfPR88raVKYMhTexrhQpq2xcWh+pHky/c2BtukspwV9b+5FuE1fbsxqNeAnSTp3TRCUbAeAc
cUcVsgcEja7TQPXzrXTwad52DjVuSRFbanNayWlAeUHQ+YZwXzzXjfIflnQCUJrFUw1to3N5s3OD
TgPiIn0l9nCaxHJoEx7On/FM6CeU5mSLtGG1aTiTQ8ZTH9aTo9asdcakqAlX31Fg+xGhYQfHGMaZ
fyrXj8rloUf97035HlnGf69Xl9/5o15Fv4GbjgHOYNtZ4IagYH5X1fDw7AR7WfB4bTfAw1gvMY7f
3QMw1zGadChE8BBSEuJHv7sHEfp4lJd/iXQR5P6/4x7Ef5XV0Mogfo3XgP2JQRD9dSNCwJreoybR
120ds42UDS8W2YYEbuvPi53/vPRDZlzcCLWp5zLytO+VMvDXboZez4PmOBA+rDdiJtjPCqZljkZI
/Es8TFkbIfOGZrNrQayEYcNxEjuVMH6B9K/sXuwYT+FtMk3p2BWJ2xsMllE0qyX3nEGo18TqETl1
HVeJcvNlGU2qUFLYuBWqT0/IJLM9XcY4G+Y5/DZINMAEgMMwSURcwxrJS2+YzRHyxbrxCe+uk6ae
7tD8zG8uVgz0eyMYfTPhuGwa5bZXUFUkHGxZXQsnCjfGEWwHBrWtQQgE6xnbdKCDTXI+1V0yX3vC
6GKs+i85E3VRTfzxlXD4H40OkcRjVeTvWST0gz8PbY5PMHontkm3hjXzFUVxrKTlQBXC4I5YF2N6
gERiM7lLiGSoWrJIa2ePR4+t16M7ik09CQXN3uvR9SsESLPAwwBljd4NlYuey8PZU6Qp818C29tb
Zq3ostqf/DdsVImOyOLR/VoL9T1AI1t4vu/fYrihhSXtdDNN9Ts+0m4/YKPLvae42+TCdckpnHma
RVBFr1f0+bA9IzAXXKltmjZjKWxKru3Ao107dCJPVwxHLKDrexgvzVU0V+pxauW0UanowANy/wRu
qwGQwVS9gU2ATnQZ4rOHnmyDNIq6DXjQF3py5REP3zFHpeoDuAZbrjCpAamvy9ccsmZH+pYeFslD
vDaROCdexe6h5aqRuVyRLdQaoZphJd22p5O3DWdcRUs0aqTc/bQ6NKMTP06p8yRd5l/5KKw3ePnV
xqnb8KSkH25wSrs3q2XLoUFTvae8M6V0tDiFql/v2EjmwqhLdpRPS0mNrQCvK0WLfyrrj8rq/s/K
mk1a/ydj9pfSiqQLnlN92eh9Ac/9+JdWEEkX9+IT4BmMCfSLy4Ne/gQc4VWAG0dK73eE/ffSetlI
+COeEqEO/ijIf6O0gpb/SyuIZhOIOjArrKXGk9Uvr+/XVtD0i8LuAhbcqCV0oWWa/byGQ+GBdIS3
NWxQQIEK6vUpwYBdKBq+jwG50pDSiugSTxYLwhR6BCcxSzfr3A7qiDtmxPZTsShzjaKnijAdcb3L
6W1Nu2fGaYnM/F0dim236oMf+HdDD0tDDCuA895XoPL8qw6JuYw6yTdVpzJv0hZ4y1x9Azz/FGEr
AuRlIE3x0t5ENLjx5rhMB3lImmFfRzbYW1NBbKl9khu2bNHAlj7pv5C2uZtmGh06Wm0RW30jfAXi
bh8X5HNQglo/CxA5y2IwUwWSirm7wFpOevY4e9NLvZgwZzXb+ZPssh48eNayYAQcoruc98F13Q6H
pg5BqY3j12AYEm+OhEDckBvejjBi6HAjItMfllYj7cthciStrBFoHiG/uLS6VrF0CyjsFidFaL8I
smzXJkzeLceH21ctO/vIEmdMjZ8MiZaTkM0+Sh1onn6/blmnyI3iS1smyYxvbWIAJVG/8xqjIPYL
dCyDAh1vwc2jaxsRxQ6XhJ5dGnhb2wuaDRSHUttdqK55hhzRBmBD1kbsgmBpAKVzfyvYZSeQxYab
eEECHaouguyVV3jLCm82RNYyhBSyCeegKRFA9LdaBm3ZBeIKqZyj1QL8nbfXK7UFb8lXZUWciaQN
S0fxoFinVZRelaxbwNpN6QpG8EF4K2JAQ7rVAuy3WMZpm4IGg5E+YskPNijcwb8l26mPWImHmQqQ
SlVVGACXmQoC54yAZpi1Fu90WOI447Ebbwh1NASImSD5SPvSwV4GBK1rfojgEGyB1T6svrqdJrcr
mUNWUKj9m2yQouAsxi6QIQ0PfQrlmXqXXVb28hFxv3uZVSS+dVhCkakLALteUFh/oeA6L3hshDhC
xi7ILMfnngWjM+3IDJeZzSE8vwSUbX3Bbd0LeGuQhty5WmymqCmrqoOpgDh61l6AXXDPbQYPBnQU
uplivIC98QXxtYBtxTLdxXNbl+oHB9z4zTXW2OgdNh186c6+afQlG917E+DfZjxxpNbzYImLZhzi
fbzOUEacxGxJ1YV3PlhknkrtAKW7EMrsB63MwS3PeFWJdWrsfRBAiggbtg5fHzxn9qBu0TiHTHbo
Lij0fIGiU9DRkI5XSDswNbFCpOQXhNoJIWsGwTcDNyNH7O0BU9khEd3tnKjccZKTil6qxD9OMjbf
4QJ+zrG+WkLHyToY+wWZp/lqwsqSXZpqAfESDAWt3Ssf/zcGdsuY8GvAiJt7tjm5M/hjkyaPloDo
4sIScBDth0qwtQlLXfZSrGcswruCMouNQpdcSNcSyC3cwxYLwxAaWeWCVDDMnxF/vVPgSxIVRJt1
xVfoDe3N5ND7ZqleXDk99yHKA0GnWCT1eOSz97rUcQyfNMBCICXpxsNx74G/HOpwvPCTsE+tByBb
mRO00qcJ66WLxAlv0yUhYMqTbo/0Ev6mdgWMj8bkvZbHSbg7LAPochNWG+HK4YYjo5MJLHzJnCUt
9DJ+KvBqWWR4gX088TPSbm1Uym45db5+l2Gy76boO3YARHveepkY7Rs2F2E/j1x2eNPNhvmIAbWe
LZo4uWYCVSaVSN2OM/hGRGqM9HbOEO/WeYAkx7Hlic9nbOK7anwF45I3b5qku6QLrj3ab51w2FLs
5cF3mi+Nhz9HrwytaK749KV4cotFXxpM47rXFxl2ukjsYX3GLhUHZwEoyWA9Mt2cWyi4HmcPDRRd
FoM0v0i8E7TehusciyzGrKtUkrXQgyvsiuIN8shoVBX0Ypj6n9UEWRbnmLNuFfEVgQ0MrJXG3Z3L
x/EfvexfWwzQsPz3qfP0+vE5/gcryMNv/TF3pkA2fCwKgA6V/pC1/pg7fRdAG0ygX/qmP+dOLEZE
YAebDMjPzY9/zJ3xb5DOIJSh0Qp+PCDv78ydeGriX5sjJEyguaEDQVYQyyn/0hw5rrcqX3v0pkrb
TbJit5VGtwQLdLwOdPMEgirrF50Wlq+HBO3/tmvpqZHTDhsgPkPHDPmcRpgzZmwtSJoj9nBUmU3F
qcOcWniOc+44B40lCRaItM0jkmuopzxNy5D3796ENJIm07UGjmU88wxHB6J7XUb+pdZR9hKnTeFg
u9gjDGN311X1kbZzhU1ekSnwsuVmmvi1xO4pHFP+89QkXTHwELdBEKoCPkKILWHVl5nVZ9BEkNww
yZQE6HuOzST3smbnhXav1p0fnRXIfBpTk8uI27J2okOElZjFhLxt1iObDO5BvpFIvLNkvG6xBDQb
Z7xFkL44hnrv1mmQb2zoSfb2KCQ3WzGivCnu30ZC3LqXHXAA/hFIJHoBCh2SLfw0ZIrV/F4pgUHV
mzjaJNJsLIvWonHFgzHrLZ8sXCQXGxxU0CRXc5veq7Yq2tYDnDGPULfCtnBSe2RNemB6OfaSuTkW
gynsODN76qHrpBKoSExwRssJi8EcrkiRMtei75Q4V2Q0lROwGWSzdXBA8E1s0nr5QOJnPVC0eLnb
uUhetIJsg5k42NgVXMWDtx9CQOHrVFXn1elkxgbEQ1bquvDT2hS1DIvFuqljZxk7WzmCgeMJooPD
y+r2dqsozvemZ+2mpgkHLhxukm4csLnOrLu4q0BJDBZNXpdkWB/zjoV+bY6lkoCenbAtm25ZCtgV
L00yg4EY+xOv+xW9e4DgNeEbwbulcLH5h1ceim0Xq4PvD3d1heUUiW+WQiwRLsgpia5dBT5wxM62
nE72HfhdgL53QgbVCQEA1l2aTwD5d1z4prArOaGRS2F0xp9jb2Q5ph72qaI5DjQu5SgUS0ENbzY9
XQmEk/ge2PWLSepLkgetgSJJs9NqadAJzPcOMKo9lkq9Y0dnh96nAsFBO2SXJoPLOE1usY9tQXPY
hDunjZ5T4b+Bct4mzqJLf1Enp3UAXDpkAJKIiCAbMHyEK778ZEiKTqXx2V2tDg+exbMeTIaLl5fL
COU7mD/BODwtFPe8X2P3ZYM2MMNirc0a6OA2mdtn5FdUURG0eZXSE1im9XGhMWIm1TyWWC8GFSat
Cyn1mte1fEIiZsYOS+wA4xgcqhGUJuD/+AieZkBgl4lsjboHK6ubMe6vpiVVBSaML66Hez9giGCS
oyHY2aHF0QIN9+v2wBx2cgUMMokQcRY2U4jFeeGdiz6p8PDvbobFO5KgnnMsYtnLBL4kVsE9z4Cr
1BweXcf9irEPEYHXS2kKS4nowUE666sP/DMbPB1lwwJJnq8mPnCrN1iJsFQTcphaP3WI+Up0eTCq
cuaM8j5AaP9RLsv8vGAQwfzkKjOiIybRC61ldNAKa45uG9pQsteDE75UNPark4g40NG01sWUVk/Y
rxSX0YKRDYs+0PLietmFsjblLGyTz7juygjJ5gxX4fMUTjuL9S4Xt33HYCqAEYNhPXOKrIuszsTa
m6WDMW1btJsObW+bmNbfJqzNKdseWemxbvxyouILZPJ5jGGpOTM6Oa76XYM+EzNfchek+qNdzeMQ
SbvBXYyWeHy06YSFM669TUN+nOo1yvveffUW1HHZzRAX2ztvht2gEcnbDY3Dca1VN9h26+erxmjp
ULFgRePs1ftO+gaFq3tNpMHk4k9jnsRIzdTizSczqsHytiT+phvARlkSbasQqy5pY5AwcuoHd4EL
LUEQAnwCHQeTH56gY8gN9SK+Mav4igN2sK3eV12A5rLhpdeGXuYRKESNGYIsaef71sKVYRWqH3pa
uungj2TrqlssYOSllotF0rrdYh2Yl7eznDMkh++4iFJMC8nVJSshFYBZqJqIeBEHWzX965B5iHlT
ZxONo8qxjPgRqb1b2Q7XoCq6HET0kyDmXcwxFrsuzXHuF7SRiz5WvX2KBnTlPb9ZI7gOvo4PfQWY
ZxL9Buu69r0iL25A+DYAfIuIg/SyqfWuOohxeYS9GmCICqT67pO0DjLPDz8RDx43s0WxDYg+ihYL
k1usGcRfXDZYMnMINQGKwYHM8THZp3CxMiwDAcpks9rh92iLX4cp2fsD/pter4x0HusAX7VLBng+
UqPcmE3r0U+RprsI4Jx08NOqJ1/aiI9eecfWZ9t/tLafWhu80P/eT2LJ+P9j77x2JDfSrfsq5wUo
BIMMmtv0vrK8uSG6qqvpvefTn8WWmW5JMwcC/psfmAsJkNSlqspkRnxm77W/dFSU9V9XGfMS9feS
kroRa4nL2Ax0M3+jpPt9lcF/IlgTDbCrW2iBZw/C7yWl8wsgLaZtlgsM8GcjBPvaeTSG4ghz6Iyd
+SclJRXqX0pKZEouIwZQNtJ17bnk/GH1mvkOg4nOyW+ESPwdMp9twCVFM9IfW7sbwZ/I+jS0MucZ
n9CoDe01izhnjSx9r3CArliYcUQFau0a1bj0e8tYRGZQLhn2TCgje7kKGgdLVWlNK0Qj6bX03edA
TcgY4T4sBzEdoUmeKmXunNxlhKMFW06YZ48SCJOnc56qEQk9B+8OGtrBTyMWtqY6TE5IHWnaZ0ua
eKDx9zehc+v2drzKqhBlcvUFmzfqEuU/dakqFj1wZ3Cmdrfk43S2Mvt58KBegvR4cZP82Rq6oxvr
p95OHjSVnhsEQksAh49Z5dG86oBqvf5o44POsmij+9qrDIelX/obRNA2bpHiVNj5C6v2C/6oaBGo
YdsNVOc8FNiHkRZmQ4Iew27WoUWZCJMnWRnVYEFyLce142TtuqOIxJ+V3lQolziVjV0eAMNC1Xrp
E2SQ/tTrW6ASm4hjb4i7CNyFni01OV0Nz/qQTfEQt+Omd2jcDT+7Dqa1GYN0H8q0wZJYX63WfgxK
z18X5vhihRg3wl4VK6bCeLUyDGBGONboxmxGqNNtNWT2Rg+Sw6Ann8GEFdpp5KMVVDqQR+kt0afc
RJ0tL4ln7wbHvy85bPcWCmkAyUdrBCvCAm0T2h0+jBKgYTNF68ZoOgCHzktgMT1ry0wukjzc4rph
6ZLmH7Ft5auowfvAKbdJHHCFggFtM+64+yPsJ9F7VRmfdEmfTHj9nV+alxn1OHSlD567w8Y+JuaT
oWKotqPDTeOFYF7KQ6qsfaJ0+KnBpnJ85LWgddfjAP1M+ta4db67NDLVNuu+027Dov/qTnFfLZUA
cCTQKk+lWS9s1MumVoJMQ8/sWrNGVs4qAcd2VrSPOzlLoPNq+AL09QFQBuuOdC1mmBKPLs+R+5wb
uKEpwLt7RonlOnT9YR3bLbAmD9q1PsuvUZTBAlHJndsBr8fbOjs/95lrnbyu1oG3IeOGesbnwgZ4
4SC73xiz3Bvyi9jQ3CRLAT3yOKIK91CHG7NMvEEv7szC8QGUL1cXv0vQ9NAxJ1S/JjplX0w3ec4n
JZpF6BCYrh6q9CAVYlXMQnULxXqSWW8NCvY6vw1Ns1hUiNsdJ/X2g5VfBg+0S4cA3pX5V7OezbpI
41MzLdZ2jNVaG7R4VcwK+l7NvoFS+atg0rYInKPpTc6S++oURfsaGX6YlyPqQx6DLvW+jLNWX47l
2ZvV+xky/qEwd1hWNWafwZPmx59xy0cGAzvPNiaA2i336ewKgHgHZCRJHkCCf3Nn64A/8NzRnm3N
HKuhCQl9oRXs9ju/zE6aHNRZx4egYea/DB2IXSDY0dp2J281zMYFWijM6xVmhqDvzl0VOzSbGB0S
N7wPKp5mZfr6vkrwtpoe7zjgXfD143Sbe4WFj5jrvE67aVngqDDKqmVizAcrmEpvoc3GC5hPHuVS
E63ysjF3QFoY8weHGPoCPqbyNjWNY4KTQ3jiwZuFwrrsDjg55Rp9xRAu6ryqIpA7evUSuwjO1laN
339Zt9GxbTsgUU1npBINvEfbEoV4+V0/MP/rjPx1xmT8x5rgV00WUa1/o2+Yv/KHooCAD3hRSCkp
NeYl2B9FgY70AV4vol+Khp/0DdYvDJkgWMpZyfWdUff7Dg6+Jss5/pWlo6Oa9V3/ZAdn/wUy4kql
M7VS0pyNS+7833+oCeoW/yAgau2C/TFaJvm+C/E/ZImV4RKH0xjb406jE19GQXqLetpddmHFBVuC
Eh6bfJVEzX6qqLqLqOXkBCOCP3CE/Viy/WUF/g6W/ol24q0Q5Xls2Y6R5HFiaVCtTWp6rwBq4laI
VdNoBQTgbpARmLvS+LCASXS2hcHZELeuwIrfO57CEFI9i8H+xnU3bKK+uE/RYtp6qq8nOM0MB+wJ
KFD5YrYsAUO9oEnRepgiBTZI9udZGbfkJFRY/SCkmx6GxLqlpZ2gWK4w4mM06lWkrbzBfCuSThtv
I1i/3QZ6Vg9LIK+b/KEtI1EMC103/RUrQ7aBvQu7ruL4qsd0zcwavMBorDuV9ZTy0bWNxmbh4llP
cweRr4i+Nrb96eF8ZuKGOtRoLmjNZI1x0BshTPYuEydtzO/tQY8XeirfoqTWsNFXkjsMEXKNQtny
6vpQiuy9lEFUYVEKcrGmEYFEaqWmvC1jHwtFYKtVP9KxBd2v9049cFcOwnzJzPyJhU9+U0xDfhJZ
OC4hda8xht4YfrHPkvxS6/U2rYJN4toHLFwviHX0YhEb4z5nFNVmptjjloRTxe+9/o4W9aAbLUQy
GUt+nmfHb8IDSwuOaV6+haN72szVSm88RzwkTkL7UrC+oPU5mmmIxhdjWPgU15pkf5dYrCz0nppQ
jreinuKFsGrm/EnurKtC3PvdeOvBecVZZNxQZ5JIIHdlbd2iddh7ybSNu5YTdapXXePjBUlvBrfb
ykGOi1h0SxPgWd0XiyBSpDKkLHbt/AEFB1wt5ynVcMW6Vb0bWv+hyKZT1Yf3Vdq+hI2+0wcHEXQS
FEsLqdzMsdgOHQ08aUISIM54srJcHHnLOcPb6DMa0NFX/Gza6Ks1gAa145JfDJO9NSb1JisY+5lA
39sm58n37lJVFvtRNf7J0Mx7VNnvmVYT3vBQteBC3NK99YNoVbCDzApYo5bO6DbqceBEWxizFE4R
TjrDOBMH+pa2Pn25bW2KZrQXRlmsgsIP5/HXxBPaf3E9Hb5B2q8ma7rg17oBWPMsZX/Maw2o1ew6
VjBUhLUSXnQ/+cFNr5vPZdVjbNafklLoayGRhkMvWIaxdvGEu43S7NKGkGdYQr53kFrWBms9F6r2
wuiSY5Lwx2B09E3bsKtO947fnlhiH/mT03oYDONAEESziJ0+kRs9ZIxlTaRB3AW0VRIMpf8ahXKd
KRaQzHG/TbQkcdi91m6/6d0ODQw/guG8NWAD0tbUkLo0K0NvGYowTfSLl9EmkEOmTJp60zo5sr1z
9JLWfeiTJcXmS9hW+57Im0TrvEXumLdG5O8xk9zKDLjbOHVn1fWEIakMHEjl7N2q2AWxvQ2d+DmS
8QlO8KOdFWLBHuyuCcyVLJJzwP45Fu0z0pn7KuS9SIvuw0z5qAm2oJ28gVTS7v2RxWgUdrtElkfY
J3c8JIe8hZuD1eIGbvams5GKc7W/ADpjrmgmm64WMAT7o+bqR80QlGG9tjdHcyeqWaBDZTT1ux58
HfXtaXCbbZNMt00XN4xgSoRG1XEoeGQd6pK0Th4ZbL7FfXhDvbZvKvOzNotDkFt7BLtPXR3eK6d+
wGSfLJRF5aKwiHXOeywIKklb8BDEs3iyOo1NBmpwnjDp/TnI42M4ZW9DYty7CQZ0Rrq4REvAapbY
ml24IRXkRqX5MbSdb/+dV/w6r2Ad9O/nFavP5H8uAP/+Th/EF/5Rmhi/QB1j8qD/BsP9oTQxkfpI
BhLm7wiG3+cVcy4amjb2KHPqkJCz9vy32sTUf0GqyX4MqZGhbPOfkXDVn6YVJrgGhEiwelGmUyb9
aVrReEj5kilDgMc6WMThyfbjpdGNv65IIbv/PS1cOsxefgDu8ptIKAh4sBnOEHlFLM7PJRBhODHq
iLi/KoXjA/6NY67V1CKVQ/CdS65RrbfZ+Tb5jTu2pzIuHm1ZERWB8XTZEymzjmGCH7uK0SQEQXKh
xob7WxXs9vvqpa8LtlpOgClolvUEdXJf8A2XnAvXXABjQfrJyqPkE+0QobA0WGQgGXGOZTosXQRN
y4y0gpWrLKQwcbbxrG5DiByDawAOqzoe0DWYzxqEc9dkPcKv+cLBkC8ZSNzTEN1p6XDRNHVpQsHw
sGdNTpTannCFS++lPsWS/ogthGvb71jdzaaTtmtuyWjY9Gb77DrVp/TtNz8dX6t5LBC3rPLIPLqq
yjta5A9s2GLuLMDb2zqoeIeq6jG3/F3omP4yCYIjde971gfxpoNbDjQR4EOSD8VKa2dtCo3ZRm+m
Nz1NZ3ZldGM6YClHsGJaYaxKK35rbf2xqtnfDWm7yPXxzi7bLSzVHZMADQEUwTm9aYS4XMnICaRi
e1NQajWls7TdN7ehI2fODKCNTV1rolJl++dg6eP9i7b04t+ckdmIsNRZ61osNRn6qxJjmm6PF9mT
3jHihOshvW1iPbkSlhFtuMW3EypI34dD1+jm1u14bYMeHrxmsQAtSvcNAOsOpdodKDXYb1P9FFqY
jn2CE6j3kvu6b/e6irtVZYgPQajgwu/HpyQMFbFG040ccA3XQdSR8VB91RP5VXIfLuNB3+WJuwcr
oC/jvt8iVLtNScEa7Nw62caUAVzLPqaoeAlsiPKplT/g+4pWZmnHu741tqizlhIZPDoUIhx4xNDk
mn2w1oeg/JJFuV9tJkfj1lXWwKpIDFyui1HiltiZPZArCG4b3eln0UmF7jNR2GhHNpEefbBpfO2F
uw+VvukmxiIE7RXdU6yMWRrT6zCcVDjbuQY9XMWR3Bv09Toqs2Ye+jjlF9yLd3qsfToub1OJIynn
aUQM1UGjrRts0/0q72N9z84NWVffnZwKM6CGMoplDjqUugtnynT/akV2vR784uyHwlvWxYBjcs5M
qU8wxqgH613fNy9EgtGyu9GyiwTRMvk5tvjIGll8xUN1TDRtPyWBCc0sCNbTMKI37MKvVs/tFfWR
AWtQvyPEaDvkzWeMr3E5tEiDrOKFPRxsg31gVqTZaLvRsr8MkXib1Bgv7YQEkzF5S8x7dt+ItNpD
QdORaJSUWbWUGwYwgWs2DAmMdW+Yu04aG0CBCOKmotsadtRQaLLL8TvzLWOl0gx5v/I0/DJmX2xb
PbsZ8/61yiPkYqP5RBSjcy40QrMeZjis75iVt8slBP3/6xj9WSc/n6JcFyZdLMNtHLYwjH9uJGs2
+95ojdeeRefC3HqH4T4/76lGtS/Zc7GO90hyFt4R7127irbG/ocL7jcK8o+hD7Mc4l/O2d++PToO
Ih9QTCBQ+vnbV16rOs1qp2tnfym8vSvouIY3LU8X//z7SKEjnkWRYArxp37ZbbizQrJrrnp4Ijdy
kSSfrr9nB/l/fJ+fb79ffx9eT+5AncYB3sHPv0/JxFG1eiCuljpWFugbZlDm83/+Xcy/e89+/GX+
9E3aQIhaAsW5dpv6CWDCutuJr85qJlKc0fP7i7tqjdB0I3ePF2eVLC7dOdw81WtvfRsd+sUOtPGp
WfEHV/mGv9ZP//nnkz8PJ359EWYGvo3vAu/1d7LTD8OJhPw9TKxCv6LGvXi3Yi3O+rN/ILKO2dxq
XBxe9e2wvJSbfqfUMj0iyLhFprgBZLT8/qP8vw6N+f8tUEEJxYP37wvJOSP8rzuv+Wv+qCGJvMYt
h2fd1TmXFZOvP8Zb8hdKQFDn2HtwHP7oqJ9t8wp9k0IopQs1m35+n28B/8IhaDnktsC9VTz4/2C+
xcblp3OB3w95Oes49meGLRlPzcXfD49QU/VRlshouCkadHyF06xsr3og65G4FUlryAOWP4SdntxI
8gPv69ardmiv2l07efpSb0FTstRvEHsYF4MqknE9ZdloR58GRsRlwylxDMru3W17oA9jXq/jMhmu
ru9T9KWZvXRRqTyYKCsr5kLwZd1VhwPtBsN9uegJJLvTfTvbthxrWCQQM9e6/kiGXrJLEqPdRhia
OQj2xug8+GVbbQYi3iiiWFMniK2XpuW+acLqdy5jC1qu8LE0+/wc4DzaNOgFyMPKMArxEtyEOt72
QTTurmTyf+P30iLo1k13fWGzU/cNd8eoo8F+bb/kWPEWZoG6dpZTtqBuEVy+9gpccIMqHWUS66gA
33drMlbyxVr63YF8pyNIyCdezTMUHSg9TT5TfSB/ZXHwpjrzy2ABwwDy8uwzP6xUlqyLwGcK6If3
DUsERvUaLPlMx0Pt+7t46sqdZqWfhk80CxXRwapYkTUTBGH8idGm0ZS/Cbwe8b+aXnmjcddYxX2u
eRczGd+dKdwZHqsJszC+emN91eqsOwEKr3AVTAIeuHMxCEEDazhdVM5b2hTDisEIvFbjXRrVM2Tz
D8K7gLIGjOWT4cYinXlhF3qz0Gn0aQzknoQkhU5nQNbmu+isnWYpUxNGsXWiZHXWuW14C6UHr4U/
3WKDOMJgpU4cCAgkvRE9E/jPpeWgFb4xRhEZ70Jaatzbs3vaDvyj5pkT5AK9gmqggOUw0vvUcAaF
rWMyyhw3332tnhups+gSGDdIfGxFacMtf2KOzLqiY5nmCR1jrELAMKp47ZQ6uwxtkncV899l5xCb
Y/rxRykLc4GrdVyHKVD1PHKpSLBYkrLJixzW3l4bybXz2UUuez7gS8GTyrzwLskQdnUhuXwO9rOC
6MeHLPDqBcKRnY7kl2FN1APbtFIQDj2VviBHb/Q+x1HuAL4rrBPqoWo8nKsZoLvYWNJnXsxaEfVj
IhBMe4RQNoliRK2aN3YzAnt2qmZZ6KG1GSrKKcLcll6jTiJkmetmo7sUaAWrpA0P+pgfUWuhjMtD
3qXGRcz7UhPYqfU+Eg3kVTi4tk2JhnvppjQyFK4LSJorp0zeg0RtHFxzDZBB5HD2wAubvhVBfRjs
vtjHGsvAJNT1GyD1M89fC+7AUPqHzARmCk/i0pVolSPXWsuRLLQk63jOO8CDXjHcjjqYgLEsYrIc
EYW3Uno7wS5o7dS5uR19zyVKuKz3RZkd/UDYhK61xqG2/OlQRgS5mMxR1nlZkBKO2mSKx4Mm/JdC
Swlgi9hZc/rFew0LGOaR4qAZ80qMaEcrKl5LO/K/1Vk6Kw5b89aOos8pmhp20a4Bhvi/9+f3QYzi
Qvn39+dDm3ypPv/mBuWrfr9BceW7Drscg7qVImcGyv9+g85kTRtNsYv2n8p6FnT8rhpBbWyS+yy4
XgUM+NnA9fsNOhtgSWabXbDsdGYZyj+6QX8uEpnzsJxCe8LPgHneccVcqf5wg/peKchFzNvLxO5+
MYTtWzUiuYpj3NYcOARPJs9KZ/FOHAZR6Kx9lI7ouMq6a1rne9vl3q0VGbjECqEgCeFFRufRnnpm
K+E9p8tXmucYSEdnzxqSlBWBPOdTietfEJCb1sVNNohn0MJvsjZf3NIfyc50wYZ/DwlhTpFgyuAw
D5jrEthh+zRTYRE9KSd7K8b8sSMqExNNXSw9y3qqymafDdlzg7PRy5D0W/aNYYTnLg5OTR6+1bmT
Yg+3r5WhPhIs7OuUX4yeLbS2UuaHVs9fSXoYcb4bQLAamroy6Xdg0x9HWVRrv+k3pjk14GL4tHGu
JOyAnK9lwAzWSaxT3SQPfTbFS4d1gIqduzx0v5a1ew3VMC5kySRAzNt+r++JRu9eRJx9eE3+6pXy
ps6zD5MrH3dZ5a9brEe72k6vfuHuwgBdceS/JbLp1kXiFKveimeKcP7R6+451qh1UkI8F4U0vgvr
IMaXsFFI6jtx0xxK0ztlfoKcvKg2tJAbUfUHH2WZL9UdU+9voRl92mn1YIT+1jOml9SfyGPB4Qv9
HQMZdua+ZzsoBZodOftVYcefA3f4lgCfoUMV25w19rKt6ExTIZ9NX92ZDZtC4KMPpi+/YZ3o9mM4
f7lq241ptC8pJqU6D9BIK2vTNi0+kraJyCpIXnMzijeyaC8yUGIRxrg1vitHCbJbWFO8ETaqCkaL
W7g1OcYcFN1twbuGLYwBiLJWrTkbYCZngzSm3np1cQw9PHTTbOCtIpAuqp/u7ERt+0xt2tIsl+bk
AQ2NuV5FM+jYDGuEGS1PnLJ7jfxlHuKx5j1MZUHUaTXdM0zhu2bOxve6Denh95NjHMIefaAtCSWo
EeesfDiKiw5jMYLHF0I9mctbxbvQc2wkOdE9PfKMXoQ7UlPYZWjBTmRatNJs5h1C5Ft4OFsijNtl
LTR31wQ9YYWd84lw6uQMebdgxlWghW7QYo8osNEvr/10eMxLdWBQj4KAcnZhGc07yuoC4YsOSnXC
GJ0OljyaWQzVXBk0uIl0A2NFTOKzdOKqW1daHYRPvAxeQ+Fs+0gPQthClpeK7AFHDJthsykmqGsV
cb9L2Bn2FcZ0aF3HMgyuRjn4r1i51mTI2FSageldCuY4UQOO3OmHhVD+LrCBmGNf10gfVMMtYMcD
KXyhsUbXZSiu1oRYF4el4L61BRLtMhwaoEHCINwZZOsSUOxtnltDuaWqki9xT3bAOckKynDWd/pq
sOwP4bOjI9phrNJpDul2J9jjJhQp/Ia2/yAIRa9fpdf53gpMtwxWpUgt7y1WYWCeBcs7YJPo5Ir/
tpu/airmecm/vy7Xyf+s8goS619vzPkL/7gxXZA0iBhtw2RQK3/K39J/0ZkYQI6WhJCy1/jXjYnf
hwuR1D+J5IK9xg835izBlFxutKOzbvOf6SwBwv6553T4/3BhCq5fbunZdfTjjVn6HpAbvYPEyo69
n1GMHUxGjU3Lwo7q6qpNM7CR2eyLMotm6aqE4BFbI+skxVdca112mHz8yPHESJCwi2cEVTaHkkNW
FsCdzWRi4U3n2HBm8NWyMdt8XXput8Rd3yOqmu6JW6ePGpwAXpX96MKjZIiZ0SnAGLVhVTJ68XcV
9MomHJ491NCYc4v7KsdNY2mhu9OF/5HBvhwMccSfegEBgPh9xmMCWdA3o0IHUMDOTCibxxmmCQif
lXfy6jXy0FhFTZx7ey/IPtj4pUVASQ+KEdPuu1XFJATOwM5qUCOk+uHTyq1PCppohW2VkBc4n+5g
vGQyzw5Fm+QLAxao7ILbYIaD8mN+uBlBGmzeHaOzl1pg5fnTAM8L4YVOpAYYZwWzme3rxs9x63no
xkAIfZKVuh5mvnOeFFsT4rNd9Xfckf4O65MD8EwRMQICYRWFmrVuteHGDnoDr5N8CqFJdzNW2pQ6
dwn0HHbvQKeprbdJ14OfaN5gTcDUMABUt5CqpxlZ7YjxyUkwyV6HmuSpohkmnDVMYN1ToBXfpjZQ
6D26aF1HrQkuDykE4P9hm4aoXcswcqn6x+DWiOUjfkPAnbPNQDoBfKLYeJ2EvShSQjHah9ZK/AtQ
ueIwibQielqLd4XKMS+IO51en47aQbWI3BPpQ/g0y0CxzrbOwgDWsDJ82tHCovNVecO0VsuvfuR5
C6sGkWaJB1sDmdtH4G5b9nCJdTDbjJeYNDYyTJ4LFX61jfTkaRFyE30ealRI+G2t/WJirIFkZryi
53hjmwPwxLe3OGFykMHRTgpEpHZer4Z22mgSo818G49ZTJwILpkkPkE0OestunlnHHELZN/ELP7o
WseiIBhxocY+8Txa9KFb2ouSeCiC4S4JmtPYaQ9oi98aprPspNxF2WrHcqguwvAehyw6jj1ZSKUn
n/wUKF1QeQ/eYB+biFeokL65MQrWJLHjXjJpvnp2/4iom9aNyxoCKxscOxTvtene9VV08SmYpOcC
K7a7WR9xZ4z8LqkX3la1vieJdEn9fvAZqLRWfyw09e6PzdO8HfMzhcNe3QThtDOqdFEIuK5xPb6o
1nG2kY95LgZUxO3JRNYv4Uu5sw3YGzqkUWH1UtXpwXC7c2zAUBHTE54uh9fDM4j47fdFpcIlDyzm
fS25w+H+Xhgpdtg4QbRiOVucfMYaz6qzprys1wQFphvuv91kMmOJijTaZ3axHGpAshIL/3zickoh
GInN7pq3ApEmuaGbFh2OL7CJ6FD9BC8BZ9KtMVrnqHU/ELHNRD3rUVrm2TBLInpaHNlk4xIiNx9x
FQE7nS/upZttEhs3kiwIE67BKdDhJLsU9ayeYHPy08ZaWjxv7eTf68J8t1Nct750zgSYelvf17QN
6+I73QaKUPpMJ0Zpv8vQjtcMv2DNW8V6NLRpkYbSnBGGmxjXL1Mg7z4qJ9Qrlf6QhV22aOFYfhSB
drHIkF8TvAnQPnzug44QkWCXKucbcql+3SAQx04vwBuUxGGEtdJAYNZT+pzCjfARLdGlNBZGNFNX
R+VUD+5Mhq1mRuw05W9AbVyE2Z1BTOv04nWMxeyufrcarVxObXU1w+QSAJ81gNAOwGj1mUprZNUh
mSRJSGaCMVDdAqE9Q2ghx3Bm2kbAbR0gt0IjD7CaubewZaiNp/bBAIkbeoRAgsgFyANvgvwFfprp
BUPhuS7Hp1T1t0UfXXkeeBEA7qaAdyeFJLWZwQydYEZpI0tHQnKfgevVce4J8L2mGB4ziZDNVFcL
vG/hmhlZh3yqZ/IvAxu2gAoaMEHWEuM7hOBMyGbBGbvqw2KXARGuZpqwndYcOxbRADNpmH4SDfJ3
+nAR7aeZR6zF/T77TiieWcXAO+SecU24cmeScW7ANI4FBS3JqvrCH9hKz+Tj/w4xflWTUKH8+6ps
g0//76iDgq/6oyRjbG8JhpsUZUwsfqR4zdYXUJJUXRbTCkf9kAFi/8I/w87Vv6tFvldr/xpizI4Y
+Pj2byLYfzLEsP8K1nUZmiLDdWxdsUgy/rSdjGFruRiO7Qtg0YPflF12bno5Wsso7YpiDjlvpy0J
V/UyDVIfxSpDsXGVu9mcwhMFr4NR36dBOa6COiPmqGm3hEmuWPuyCBeZRCyXWIvcjd4NHAR8UFW4
hpZX4o1TF/S82DMT7TXHoAda5rlvcz2+bWC73IP9YHSPK8/G4JjwSfZFqF0ItHP6BQ5NMCaa/zoS
snPFi0b3FCSjfVUZKC1GC3DIAeDNvZb63ndZtmZsPM6pfl1/78zK711ay0WM7Y7eLf7exWEuZlwQ
RSNXcHXuI/PQt+pOwf+DjZA9iSl5+N4c03h/4NmlPwxack4Jl66aiPPMeA+yaFpUmkk0lMRMMzy1
QaiWBgWh1mkrLeUI8GfDiVkU+soZQdDXGUZPUume8Tc4yBJiLADqHpEfIUYF3F4t/Cpd+wHF3qcw
ccPWKS+Kcppb25hHsRg+dj3//4X0i/htnBlgqNR2YkISUM7KjjRxHspEl5ucnhXTQINcNpK7AIBY
1nXVKu3DvREYpC6ngQ3Aw54WNZOVNWrjhINjPBiFvPVkmy4nI2AEaspdHqNroNvtIXYNcj92OpqU
VnwVBJ45bZ0ugS16bD/QyGbuFz/Ij0DujrUBUjh0oISwWbgn8qhbukG9GTztq3IZVYmB2Pni4lfw
VOAErYpqsnZpNqeVAklrcmZXFiMChMzpR8/4hNDU7IVHuoH92tmA1ij9ebxuTb1sFo2TXxrkytSN
3jVxUe34jOjIcLvzCo0VKTfqQgwV0WOqq2eW0CpQ+UsbSRYafnNoeAebut0QAkXcl8LDZYkyX08Z
ht5uvBlK9azXzcVtwoeoyeNlKOqn1A/uAtIFV4Vot7pvaXsObWPRBdXdaHsPgE5up7LlI6KTLEvk
NmO/MBzxBXvX1pt2Y+KBaxu0j6rUgpUwi5h1BJfUpLv4bFvi83xVk8ArzJVujtMhL+ybaCbT5Y7q
l0WbGcu0S+Z1XH9iB/GVePADixBCcurwzFSbyZ+wjwRq61vhwjgb4VrrfABWph59qUTRA1RrbtzK
fOk07Ph81LtFNKbWMmiNb2w88F4W+V07Me5vbXjOBH7b9jAtzAxiZhOj0u6nbKeZPJ3eXNLVSfiZ
jHLicrRfVK/uJZKZfZfHiJwquadNNFbgR09Bp+HYMdEkidQ0N30Z3YS+tbK0+C5Nuosf8Gz3gU3c
BpCFMHWv0s/KjZXQT/RFjxCqYrBUZtZDrxNzLCrxzZMmftTkQxhqX/YG97yPcdrT5KdZa091xCwu
TdOntG/kWrrtPc5afRta6Ws+mkel5eNsPB8Dotxtc7BQuTqFjWBfjMsxKN8NfOu5VGTMzGkWrSrP
1mxun3C5kwL8XhnytXRcY+fORviCaek0W+OdJsAYVQE6YiWLGxoHPUD8ei/s5j7IGkgohUh2o8jH
RTtb70FYvRWWed+kDeHrgYNPq/X6FUTTaBUVRUY+grh0eLXWiIg+u2l0V5mispwt/91s/o9nDEA3
AwHctoRaLejY4Bl9oOSCSoBtYSe8Xl3CGSrQ1eWAwo4ZjgFxoJ/RA6ODQ0+HRhDPWALMvcANABWE
ioDGMQqKcwrFYIRmkM5Yg3QGHGDm8BeDwdNaVNGHNWMQAI5OawUZwTeNEUQCotscakKMnW8V2Fay
cRwaP87DaZtF5VvlqE0GdcHvvW0+YxiCGcigGAMTO8AqE8WauxlmcANNjndrZZKEv5nqAN0hskM8
iDPwgT6ZmBKW30u4DOMhaNuvxB8SoTmjImRBQin8WVKRwWjsgiybHqc+5b3pR7zRM3BCo7hf+BKj
kYJGYaQeYi/dAZGtuqMPscKDXKGFjHgdnf7Gi3EIQrcAfnbvICg/gahFUDUjMKj/r0UbPGQSnVvM
4npDAki4aDHnLyOj+bBKlPbpjNUYZsDGqJP9TSoF/okkuDZQODJvEqt4BnMUEDpA3Z/INVmB6752
M8LDiEoxrwyBZ8H3YO374WBHTWqPgQS7BSyXwEASNn254YxrEppROU0gQwTsENwJX/JYu/4ve2e2
HLexbdtfOT+AHUCifzxVqL5hsW9eEJREoe97fP0ZSZnekmzL4XtfHbHDsR00iWqAzFxrzTlmClMk
IcRkqTKuX8Wyy1kb5VsKSTzIVHTSEkpSSzxJB0nLG1L1uZTokh6Gie92WCU1tfeGqvaXBaST3IGr
H49x8FCFKVkk/rMlsSiCR9eGkwJ67NnUaQuH7bl8F9+12Wc4l+5Kk5AVF9pKJ7ErhQSwCEgss1qq
npISWEj+N3aS5JDWnEQM9lTifVnAILqMTgNpyD86EvWiwnyB6uV6VaIsYjN/pLN/JsMWA6oExdSx
AT243ld4wM00+6LgCR9GykeLDkpeKVu4Jm9oTddgOttNY9OGLfkpKXwPaqwe5+CQxdQqmM/LJnl1
u/hT2LD4En4Lo8neAY+Tdw3u9QYb+9wMVG4JX490uMe0fkbpeY9oL68FNnjs8ki+McZHccB/zALe
M5eOagk7lU56PNHRhpPbCyewXTQW60q67nXs97P04XcoHSyM+b47PGo6f1w69gc/PiTSw69n7WcD
j3Fg4+4vcfGpjEPkIUbT2fDcPNiYkggwOfoZIeN9LVkBpaQGKGV1KSP3OFG5Q4aubjqF2Ygdmxqj
6WwDgYq6VMQrSxsy7BSQCRrJKACbR+9HcgswQN9mkmQgJNMg5NxJrmREXDu8g9yodzYAhAEQQiiJ
CMHgXE1avCnAqwDnEM6mnnJPG48OMIVQUhXIQ4d+CmghjiU/GSdJoc+fdFAM1hB8ckAzQEuFZO+r
IV9W9UrADWQwMZAaWap9feDxuQsm2mrUbw9aSfQpRiynIZmY6Xy6FbD6+jaBG6KX17lVZ8TM5JGF
9dIwNeUx7IsCdCzZ8PUeial0OkXvticY2FigJr6dXDUjxTOkQyp4N0s5brIv8IwsRumkoubczG5A
QY/JSrFjAimk7yoymANkSef5ffEEDWte5Q7ckX4KtBWqnHu9zm+xYYxrxINfK6xdRgQeN+PgpfhR
u2YmuQtt47XMx8sYuXD0bdIXwqjNlpy7iGROjIoit9ekW2pkO5k4F6psbA1bGt+f/O44m3cuQQhu
eKxqgurS0vDG1j73bXTldvYRQqW7yJv4VXPh1LjGkQRLTjdF+Ym9BUIjma1J7tw3UWTs2059IwIz
38yxipe7d7ZG311wu4cc8kgcoJRYcK4ZPGATX+oh2+pAivAUw/DAmXQ0qvRGABWBU90vMTwMW9bd
ozugygXCsiQyoNl2PU90LLggQU3LxEgbTBSohBuwjHASN6XgtOtqyUtSRUsjvEpAnsQm5rhR36EO
YeDi9Gd0LhUtyvYqMyFBTDUKPQ17/wSRKVDPJrF2qBDOhriyaNUpc+XVtRLse7V4TIZg14bRc2u3
96XLECpGJ+PUG2Ylt4hwl5x7z1MlXqJS27qNwsqYBbuZae4u7tIXXuB9KEt7m7PgKgSmcWBVeDGy
on/M5j5YFFV8GIkM9po+LpZTNp+GnvzhytKeyl5FJptco4l6TUoHZEDTcie4z6lZHCM9fMwGeqD/
FvTvBb1BffvXBT3t//at/uOMRf7WR0EvNBl6owFIezeZCmYcH6oEfuQiTHVRFmjat/HLhyrBRbyH
m4KpDAoEeqKo8T4KeljeOvJglSHMb5iL/y9Vgon7BMExtlWmPab9syqhFyAEK8WdrkzLbdaqkuar
xlCJuEx0tN703uMRjFBvUgaZfl6eBjmPyMyN6RBf09RzB01TNY9jPrIcxeycHSdhVBDqMp30Zi20
1qUFSDoIpWd5LQw8r9ReygHjmLlp4uLJnbV4qZjq57zCZ6+F83UWwVP1hwIwWik1PoF9NTvUf3nR
q6TV2xRQxTADwQlkJmXAA5+J60RXWJpRN3mZb67UOjS3is3M19Q5N2sJ02P8kbkJ4zW5YdL0NiTV
bdFHOGgJi69VWX+NysiknnVqbt3ySu3QSQhx41b8FV9LTgZ5ch67h9eMeUo6uXtSDT4aHRMXEZrX
ajI/ZF1578bVARHBi6roG7q/vNh5IGjaiY8GROlFN5inuXS+IJdjzD0lRGGJ/kAoKKKrdKhII2Ip
CVnJXeF/TkIdTb5TrIkaWdlKBe+xfIql992WFpgozOrVYE6f5kicNUk9HJzyBmQHKINYr5xL845H
VCQpkXDBZOmrA8MtIngcDUEykTwCyRbhJhuhkj6kuWuN6J7ZcaKVafeHfDShGdWgK5uGQJe8Q/mB
wxMNncwBctFzLgZBNBCGy05mBSG1XvUj6UHN9ObbyLQEQzlBvNA05V87OyjAaJI81MoMIk2mETnE
Evn1ZDGqZyJTxuV1SHSRIzOMNJlmFMpco9poTOwAjKxE+xATfdTJDCTLomhkKLSeqzVHMwkCp7Gq
WdfjEDwywSHvPWsOgUxW6mXGkiPTlpyGY2GUBGhXZRaTDb1jVch8pkImNUUysonopuQ9w4kwJ39w
am+qmtFrCXqCNBbAAShe7ZEMqGaECtUoVOI0/Q1vAAsFNs4ATSTQ1zHkKGncBgZmmoDmBaKKGQjz
FsHbqZUyxU4KFn0pXYykiBHbFj6J4Zou/3MuZY65FDyabHWZJbaWlEL2aCLHvGk4ohOBbofaTpXC
SatEQkl7moQbVJXFqOzqAtHZhN6SUKfHOGNagQ4zNrrR0wIUoKZ2rkXA2RbNJm5bdRVLGacvBZ0u
yk4dhWcMuXDRlOFWR/s5xO6ZA80tYTTUmahDU4YVKB4RjIJbi+HA1VBkfOu5KaprIfWlcZy8xVJx
yplwM3dkXwupRoWdQXWJQLWQSlWdZvhKKZPHHBErUSPMS5G11mr8kkudKx4xOthS+xoV+olT/kOM
KJb8gL3jZsjXR3NlIZv1pX62Q0jbS0VtjLS2RWJrx8WxqBlMAaBluBDYT+1MqzyRytxeanSbd7Wu
xo2HXsi4EknhKF5lztGXf7fFb9si+9EvtsWC8KQ/kR4Y/NZ32yLaAk2zkLQTlvUDzQG5u9St24al
M5OWP/rYFtEX8J+iMcAe+Q5O/35bVBEJqOpHJJ3xT/rcyPF+lh6AJ5VZPSDV8eEQVvOj9MBwsrg2
OjFdEYxaX2xaWzdAEBB0p4bY83Qlz5MGe89pe/U0TCS8kI0QekAI5wfbHejSqEW6wXUR0cwsfNbu
tl7lESHxTqWe0zR0GYRr/tE03fpap6G+6HuHXl03M0ZUi3LcKo67H8WM164N261W6slnBk/5Js4H
H0YPqr+6bMaXLAyDfVERX2zIGbTIVclgdMrlVE8PrqhYQ/XXyc/sfWcRhEZfdDjkSeGu6mIgBbMl
PHlM1atE70h8jhJkuxYxY3ShOXLzzBTvElb1Xc7qIGwt6UQa1y1i12qeg6/UJ8+h1MFymMe4Xu7J
r3SXo9TKClrKKCpscQm0APHdRHtRr9dGmV+bUmsbqa2yaaX+dpZK3FBqcmHwHMjiaHZRC4JSDUNj
k6S5seqlmtfSemcRmQESO5KqibPor+ea0ImSAM9Fp5gzTlFzFQN7pLntnmPdTKiP+HQUqSRGy6x7
mVQXN41wvEkqjiukx52IX6rSHml8tzk1qAW6PMCqDZuzpSPEFwYMu2bRTVQMo9o2RhY3KaDeR7Pf
QIBH0Dh35WtfBPFpbI03JQH+XqlUtxlBiN4ArCKJg1tskteZzXklGceN6NMHEQ+tezRoCS9qkV71
lXYphPOgBo2NppqgMXR+o6ARaVfmyi+5jmXRwE97Izg1jQm1Os/okWtvpikTL6zhtg+RlzfA5peJ
Chs7y9QrO3CRxxSbXjeP8eieykHdhFonVnMaaIAuEZH57KBBdJXNCOYoYtauQVg7DruTOZVemSj3
DkQlbx4NOBnEBM0dPTxR09bUKvTOzmf8kpvCnO4rF8/m6JfspXLw3OaY089VYhYNLkmr+0zOCwmB
OrUYZ5mRWi0veSqyKDlqKPK6RTelxb50fd2ztXo8gpaMdv8uxu+LsfZLKdixaP7nf/PgLX1r/lio
yF/9WJGRT1sGZnMDL/NPk0fyg8jRdLAX6e8yMUTXHyuy8R8HnyAnEBdmI30V1tGPQoUcUPTYDDPp
yJEISg3zDwqVn6VgSNAYerIcS1c8Y4ufxNOxYzfOkLvxuctWswnfJdwY1eN3u9SfWB9/drCbmBHZ
VxC4QIs1BHc2H88PgjNQ56k5m/G5LeIo9QpHJW7BrSHd+mRKrGIdnkUxCQ0LvZPTUgsh/cz+oacF
c6OW4XUaIQcxw+iIRBJIlaaYaE66dJFqkbpUg3A3iGzX9SGoCkxCnXZU5+G6mcSpmovDCH8lqoO9
GidoX/uAmAS1ctf2BAEPV+ZE1qT7BXvxgImEhzRucaynafcVvXPNXJD1YYF7E22cz++PNjoKGDe+
tR+UOdv4w2h7rQKhN5aJXUiFCO9K2lxd1sJ48GWqFxpd/UVkzE7hX+ibSE1CaxV2FSFtxYTNqMAz
TgeQId82cGU4mPYeFNbrztmammnc2DJDbLQc9OMt50jnYRYVkQSVSDe1MlvmRmPPmSu0d4TqATs0
M2TLzNVM5QrXvnLi75fwpBFVKGN3KCSstTAiz8JKxghEMJsie41DqZHsO4TRzoXrNfqLOQV2cxBT
AUk1mPSbwq7N8RJq6IGRuLsHt7bsfR90wTMAB+MR9AcSo3Sab4nOBrnrEN+EYVggU946YU+EpTo0
7n1ROAyFc0oaZpUSPjKGmJMYYlZBMFGLmP3Z7ToSU/nMj7Tem9cGj9E40ZyZRgh6bhXtFJxDKxtZ
8QLi63Az990+Jopj5RaaexMg/lswEo8Y7LoEYpUZncPE8IDxe3YVPTqZ2R/56nrPquB11yypXiOQ
/43pGO0tVG8r3Dvzpm1TbZm7vnFuwp5mJgXLxtL77WDktheOorkOylhbOUp24gwPfK3J17DBr43C
3DlYCDzfSrdFhFws0NUL+JfbVrP7+6Afna+FOi4anN7WMFpfi6jzzIz0Wr/S7lSlWwdWi96sSFau
AuTaQXUMz3DRWOWXpmnf8qh+m+LpoYICVev93h2zNQvIwjbmjTGqp8npPei8W1oTx1lmDdb9J9Xs
TlWmrFMypPWaoVk3fc6ZJQbFZ2TfGlL8FEiQTL9OzP7ZtKJP6WwZ0NqSZt8CUcdHNh9JgNnpgThZ
gKuGLnku+fqaVoev69grv7fWqJ22nTrDOW4QcSNHrNRqQQwu0qsmV3f0rmNPw7RE6+TCe7xBRY98
O5oDL6p9xgk98ufQsGig+uK6TfPmNFTtIRAjNzOzwbQayej1GW852XRweYhUgFTCrb2RAaZT6kdj
LB7Jll0mdPM7EVyTv3gkfWzZC/eYdf116Eb7VJQrGInRKggwSk0Q/GJ8Ucj+aRQEtXpOlOSlSLQX
HGJ7EEWHInX2caddz4PmpcxeijQ9QV/GU1FNh9m2t6UCkcJhklgl9rYDGgpwh9QSmhscJvcEGU67
aiYenVn4l2zySQAMaXNMAfIwc9STTeWWqPs15WaelGr965WXjf6n8zYrL/oUVCzkw/NT56f1PZw0
RI5WSmO1SsSKrG/iYnryiaBZpMc20wfP7hkMFoA5s3J+08qqua6qRL1zaA0twFbfYIg4qqPvJa79
qI7tpgqtr/CUAqxmNEZQYtI0mNR1MXNPpxJv6ZsNti6Hk3NFRpzttFu6959QNHTLKG4eBNDtVa+1
COdgkmM3W9KdacadVibYT/18o8X1RiDhS+G8kln+ZUqz286O9x2TrblJ91UnjnZZHJ1GuJt2mGjW
TtFWjKG5BLDA8Yuub0h+UsC+5DVqc2NMnbYsQ2uvhi7PtR6oR7+lvI/r8R6akUEDq8PUMYkrAw4Q
zV5rWo5RcurL+Rw28S4ZaMsNbeRFJCj575ZIhwli5gRraoOVGZRHSPP9ws4xsYI6Srtsy76GCrNk
KF9MzbqI66skTm/IuwowVWJKsnIlWkKugnheXyK96b1sJq0WXOI9cCQyhsfoFYH5IcJJC3O1JON3
XidJJYeoG63MSMbTnuNsIiIb3aFrbAfWIb0pvhSufVQrxh6Bq3zxNWtGMFqhwmnGRZJm2k4p5VrW
HiPbehJqulbViQaOQt2VCW0Z4yxcGWFwBfpL83IJfMVlC0g0i7sHqF3DIYqqmhiHIft2jPxLzA1U
nu/4CO9HBAuKADosxvKEw/50RIjnehhrEqnPPi4aPd7XovvWTP/LK/xYevIn8ZIC0MWsxjCXrHSc
4N8fQohXzU34ksE5tWCfWldRF22j8qYeSNeqia8m0MuNV3/zAIof3Wl/vKp839+507oyaUtDV5ST
OuW3JoEfIMTzW3bFp4C+pYSQxcvWMR8tX9/1tK/A4jCqTWnfMAyOimVez0+FYh8p3dRlk0nY3aB9
ckLD9jI1vgeMNXhBMh3s1Hi2/GTcayl1AXdTXqy62c5XTqkQWVb20Gbyadp1o61/KnIwHbh2dWwk
0eeUe3VVqVbosQJPXutY6rLv3NvOkJQ6Jbnvgl7sskC/hFP7BeHGlk3prqnrtdUM4FVMAp7UUFnF
VJaLdMjzDbWbuqwYqnv1YKJQicYbEeaI2CLapHpgLRjxHLjpv1bNIGiJRbBZAJEMxt04x4+GmuzN
ltlOnXBYi3wIsnELh8jqcOHO8UEQp5NPvvD0VFXZYBJWWfWxl3D+KM5OTjhu8npY9f7MHayukjbI
aGOWXhFnzqKcY0KhUv9UonUJTBvzL7A5JxhvQ4uh8lgqd11LRajrYHJnu90oJQozrSteraDCI59d
VyWd2nZsmXvte5NxWG/qhPg4rIhY4/Mp3I4+aoy+7s6lxR6JfmxXgyqjQ0GcOlL+yjQ2QWkcbYhu
f3O7/d09TkXx/d02GBwxxMzdFh/zS3BW1nDaHmAB7SAgHR22nuVnMSzMvXYij+vw64tLS+d3j/DH
rW7reDqFsAGN/3hxrQwdsr8N5VR6dJaPYlmuwROAfXu01/QW76+U5fGxX+Gv61/5R3qejupiH639
sw4U429ezY8b37cXo8N8MR3dooz6mbcyqQNAfy0Oz6F6KfUU2dVj3W9//Y5/XLP+eI2fwFwzxEUl
DNOQzfUtqKEpXf/67//pe7DBi9gwVsml/unbxOM2K0ju2byVS4WqvzY5c35bof4Fh6jcfn/dS92k
b3n+x8Jd/tJH4c4Y0WGrkCGUJPm+i39/nzCK/8hNiv+BgBPMDf9buGP9wvAMGuQ3Gxc/+ijcGT46
gr/FPzQVMO4/DP798e6DHEJXATsYf9NxDBADP90d+dTYYuwc90pkNeWnyWxkU+tFkF/rCjv3ygyz
xn/BFkEnFDGOtc/6KF/OvXu0YvdY526CIiX5lOBlkBFGjIGC9WQYiNd5XkB31PqMEVmvVl3vXqOE
/UriQ7S0awfFjYDaKYCFRcghsS+SXuaQYsbiuVWi9JNZE5snpwVBPFwnMvjMamsKEWtrq2Kroqhd
6GSkEZ7HnIbUNGznZ4HIKhLEqQ0yWK2jGJ5k1FquaJ9istdGRqW72rGfSlLZOCt8RnJxcjBv0sXj
vT27QMiZliQLfEVvNBa8RMa8xS6Bb4mMfmNNXAO5ypei17YV6XC9jIkbZGAcE856VcoQOVoxvNtc
IX2pmB8RJZ8cGTs3yAC6OiGKTmDJDQ2CHvUuWNcyrg7qhb2KSbDDdXrABtczrSPcTiu654y0uy6O
ERYWV6OMwVOYoK4zGY1HFOhukGF5bsS5TIMX5qmDQUqKDNUrZbwe8tqMc50LEGy6zsxk10D3X4Qi
/jJl9GtVGdNXFz7+LRhbZPW+5qKjda1pX1uh7DUy/gYyOWIcCCiTOFD070GAA5GAhQwHnGRM4Ehe
4ExuYKbkwxPf56E1X+bMOhmkH0MpJ28u3quWfzvIAMJ6oCnggdWqwqMiKB5pu8vtuUzTIoQl3iZu
dR7ZUHdpwx6wNPsQ5KgDZI2xn3sSthLu7aSAcIu8YsfnUqorQ43KTeg77q1P9B7Qi0kbcVkVKI57
czI2ZW0aKRbmMdhAyGAERtATZ3+aM49OYTlbZU7Up/dV4N/lUB5M/3o5PL3WUVk0r39cEeXvfayI
4B501Wa9cziqS5Tad5oL9T86bAjcEngM4Sb9d0GEHqGy09rmb4HnTHw+FkT7P+94JRqPDGJtQYTc
P+hkIuT44fzBgsiOzCmfyDydtipC5h/PH0wyE2Hjgb7K1NnwYQxxP4+aGjoIj/I8uDCjIaqjq6wX
KzQG9msF2jbCJAUe3Ww3D25oFLeuG5kzwtBuQDuU2+1jo3ca3ge06oxGY8IjIuVhFCj1x2A2lqkQ
yVKMFsEDzMkxRHW9dRek0+sQzK9Y1gjTHG+sxgGiDExWpFl0JSaUrVpircbe5zmv9xw8EdU3DObp
1TRLzGqvSVVzUh6Q/NHHkAorHnf4KyljJEdqo0apj3UWZufujAC2Xj/42zKzbozevMkAOXqJTuHs
j+fZAcvj9tprlVe3pS5eQicGE+7Xw5roEHxrYsZXErmkevYFxbNh3sSWfeyd5klkyTqx8vSY1YRp
hnDJMSQi0W2QEhp1AHdtKJ1lOSc3KFDAOs3lSa9J10Cery1qRyJ1MvyKrGssTGkTLVudXt8IxOGY
F3Sb7fIJYSOwcA3sZqfWb3NTT6vEJU3XabptCv1Shf6kEYFV2nZMypS7NIx2XDhCrBGGomOI+Qwq
XwMa0zvmNsr5f0Y/dhBiioc8TL6QdXTtGGByyvSzloR3VoGPoW1j44g1YheVMllDbn2mHS79DIpG
0FnHgDb+knnkDaEgd0aNAplV7YtV5IeZLmg5OXShVBT9ec4CTpRbjMxhPOSRtmyRgSwAhm7SSKG5
ZHRI8glIJVfkIbYain5riNbEYa2sEpOaScCCMjCKD1VnDf+yP3dS+GxPjdMi/921iZU90K0cvTrp
rue+p2zSw3M+d8AnFXT78dTd11P8yUdvsLVCpj2moa7ZoB8t4TzZfrAUtfaaZniARvky1P5GmQhg
9+erNMHCEom161+4WYszMsFj6iaXebJeIotwtxyl9Loe8XsaZJDt1HI64BZkrzLjY0HSjpMhOCL9
91Gx8S+35gC1m7jrpVKDIR2Ss1lmVzhNDoZrXfrGwT/e1/QkbGOt6NULuw9OD3GftSk0+MLel711
NUWI41EpHBSXjlRfkd/lN3dObH9C2n+qre5N+Nld09o7DYF33APaVJGvL9vUbZCn8z2QVvMl1aBD
izmwF86Ydl6ZW1e8eZyhQ/hUwXhaaGp2JXztQhW2Zrr2SVH8JWE/wJtCeCSZnl1adBHkZoUHO2vz
x9Di5J1OKWxvNU8PSgpMwZRCTugv1tLOstfB95NVO6XXWuM/pTgXlqB0oOnSlXGd+Zjm7anTyLTp
jOfByl5bXUM6zEUHcR2XkZf6iEjRQoKa2BgQNfUyBZ7lI/7hdIpW18nXE5wLQ5D5zUKLXTHcu12r
HyKtzq+bMfEhPfWa7DfmKNklPsV1KxrAsfPYZTlZKkWGyxXDdrOuUrXd0BGkwZQXhVeOhriMkwGU
KdLOIQ/Wku/cvMptaBNmX/PltPb4OFdg4DhbpIfYiE0I3YAxhlRJt5pN7AEeKpuw58YP1EVvteG2
VXQFtTltzsVUqtpaif1k8e82/W3o+MttettlJGl/af+4TcvN7mObFroUeqjMFIFQMHNjn/y9cDFQ
TRLKoZuqTi9Adtl+mzjCxjawH9In1oGGOpoUVP62TxvEhqmaYMv/3SH5D/bpH4taExgUKhOXCabh
AvBGpvnjLt12pCFD0B8unboP4mU83RTN5ruzy58MHL+xt3+krcqhJosL0UsWjNKfen0EaOjIpZry
og8QqiEPmQ1M2lAXOU0sta44pgNeSa7nIrKccxiG9hMHecFuoZrTMlSzUeyFVdKXLpAzjEcex5Wl
R6s50rAGER8xTenFNxUvLZTd1LjEPBe3rQqedwpJ+qjsmzFqtv4EJCrMxjXYHI2Mz2qvlMOV4iSf
yFF8VQhi78pyRyD1E5QFhP1ReBW0zcoR6c4Om4pYrvorLodNmUYD8z4DiH9lgEyEjiuX3G3Vozan
NX5vO9tKb5a8vafAUncqTcWFrpX7aszf0sZlzjka4BmyN78kK8jJShQo6sje2dTrMu1oh9uD5+Q1
tuxBUEPZ6qexyfe6oWSeZuR3hHaA4xH39cghXEQtOQFkY4bT8LmxjP1k1Pm6ikuie8fBcytb98zI
N5d+URMmQCS7bRTtihHiKQsAhrSNfp0ObkAp2j0psb6eB3tcUWYT2y7ar7Fd4cOKBDthVVzywjjY
Q23gRa+iRZpU8dZSR8oO2vgIYrp8FZWC41QPy84gI1GD8K/zdS6KTrkxBwXQgYBnlbmkLznJs1LV
xkKgUXG1Nj6n7aAR0pnsoX5Bg9QqeIVOcAzaz3pcrN0Ol0iGxtQYK7waaf7oz72x9CuHKVCg7Wun
q722tzezbX4uIxAEw1QfOtv47NCn9Zw4+gpVCLcPGg2PiFv4mNZXIxqWahW9RRV2Qa2Jt6FgRkdk
x7IgiLMXzSctjhkeI+VdAFPfpVGCN7Bv15EjMSU6jGSjaYeVoaju0sy7C/b6e4awJMKn7S7Uw1q6
WG+Dsa08kk27Ze4DUTCY1PQUqrMsolwnvhW6TJ4jq4HMkcdERbsfTdbXOHZfTI2hTDhAddbZWRYw
kZJTThrOMoijcsm6ch9M1W1umIh5Ev0qSG2moQXDc20cX/o45e4ZKmLABj4P256fE8u/s3rK7D7O
3wxtsNZ9rd4nQYpjgYCqUXEiAAstTjbla6s4z4oz4axPwqWta/iTx3fkkT1bhVi1+pTsSma/6Wow
6ooTL5+GO7tadWcGCJcp/7nL0f/eJ+Qc7cx5jC+WPtxVFeEmc/mWgZlBTIVsoCi/aG2FQRW72qpr
8dUlA0LdOqL5bLSkufvk7FoPubsaN1M4xcesQDGpKDd1F7uyIZBWoL44F3s94XLooQuvdsti2aSm
ucDctQz0Eu62fkJjm9EyIcLYbpYlz6aMMjsTpPMUOuZbpCLuZlnjkMVpK0vLZR/SF3eMVzmoZ+JE
Tlz3HHQGSS2zflPn2op0tZtC03cDA8Npsj1LCR5EgkrUMfF4qwd3CC6MWS5TFp7mpl1zWFz67vSl
6zHBhHbsJU2brIiMXyakntlNzRgMvx+RxGfbJpW44gxEdpeHUg3+nYthJ3YUXJvK1dTW5PG4ycoX
zRviubWoxkeleTM77sTeste6EdvA8fIBYpfrD/Sa4m4CfKf2k/1gM/feVFUtlnFAyJ3plG15TnT9
KSsMAtTmirFkHiBuj1m3FklhlGg1zFnfANKsl05K+8TRs4ekatZ1OzwNQ/rQVMozOBn9Wu3M+cKG
V63rtHqthLYLa/3L6DtX1TydXRh5Xp7hZzM503pA5ZylEqfROpsz987InOkUZOFtFASf8B0ryyHp
0kONZYSeEENKsm+mpdGiHxZ8i0N4F0VF7Lm6su/65gnY3ozhUM/WvsS8l7y+RR+x9yzdhDWgU1LL
a7pyvlJaR7mzYsyb0+QOq6AuMNQgwX703aYDRWZnW55mx6vS1jOsvt8yIR02eNSKpZ4VE5A3NaQp
g/46aPHuYsYzt0PqaltaThdSGG8aI2RyqW3iXvaRFP8zAt8Yjop2R0fsqdbG28CsrZ1rdE+FO1DG
BrN//vW2K0d0P226EJYdueMiJTJle+D74YPFsRBpUNVdCgfcmnYVO3cWr9qkqRf/HRr8x1MExxTZ
kKUlrqFLtcEwyObod2O1pinGVgzNcHF8gGgP1bQOlYdfv52/u4T8+XeXGNIqTYcuHS4lD+YE/Srs
X4zy9v/hIvArVaSwnLHkqev7izRhkiDrHIaLXt9VxXFUzkq/+/Ul/vi18FF9d4mfJLeymgk0Yxwu
hnObVWtSj1ecQnL7NZ7+5ko/DYC+fSnfXUm+ku8+sTTszcwixvECK3ah5ZjWxb7LsFCt+gxw4fyt
CPjLga584T/ebxL3KWj3ACd1YXv8eLmWtOi5brWBRuWTRl/ApvMSHqbs35bgN9adnID/dUvw8Fb/
yYBE/s5HnSGVjZoFEtaysY++xwP+XmeopAAyOjERn1i6ZVOCfCgbob++H/41Qv0cvFasEh/9QOMd
DOuotmlayJMYq/yDOsOWZ/z/3h60A+mF4fVi3GIhQKQc+PH2sLUyACk9t2e7sQGLAaRCOSTlbnZl
uBu7d14pWYd1VZqki0wzCuR91jgdHn47EvFzJPD6X4V+0VU7OuIMfQkQHNQVgKzOvpQcqYZLPpRn
FOTRHeZcGEMQGG0oR3Nz7ZDC8qKjebye8inYlKovtFXAugu3My/SyBPGHK5beHjYe9AZEvHmKxm8
K8TvAB0zWoJsvSMwJXy+emc1EZavfIy0fZYNc3EbzFOiUA34McciMJ4bF1WLF9kYise+tTxU6PFG
SaZqNdAf2/SJpa2GsZo3amKR096HnbZN3MmaV3rTTYE3CXceV2lHQ+5U2r5Cd98oFcAI5WyduqkJ
6RWIwrqNLIsYQaz5OI8ZQKFECZP2NtFTqG6WUaZXo7BCsals/n0KmuJpHgw3XpQQr+hxjmFh76Cg
6Orq/c78t2tvsB/89SN6iwAtghXyx3aA/L2Px1Q6JQ2LjdKkbY+RnWXy98dU/w8PIOpA0gd0fCP8
6KMdIFO0iDeQGSIYjHFa/v6Y0g6gcsdESZOdUCrZRPgHjym9oJ+fUyTBCJkZ1uO/5KWwVny/a9Bc
b8AFW8VlrFV7nfeGJPtziAFRCGKVrib8CPx9kFvgIJvqQUXGhBgEdNouddTiKaJNeLIcKanU9eo2
7ixja45dcx4Sv/xCrEKGBBdHYpji+pVG42hZugq9xkxTxksDDeGqimPjmZiCdq35KAqWvq8hzs/9
/2PvTJYix7Kt/Sq/3bnS1DeDO5FL3oI7bQQwkQEB6vv26OnvJzIjiiCjCEv7pzkpK6sokOOSztln
77W+VRzTsHK+2RgdxJSRSaAo0h4zFooK28xvO1sY99lgNdcjSODzro2sHY5IFMBWL8EKMUT5Retl
wnK0Vn0pjT67M+Ss2IKQARRSBe3jQCC6T/839nljRhxWIyfIaKgu4aLzOmIxD+Ow4pSh6IQfSiAv
n8uWiNyDgjRWTPhOUig3c9dLL2AGFrWDnqFlq/GdNfAhqwLaNNLm6wgPl2uPPU2FuWOVgorsSKUJ
yVmPJn1NQJ9tFbggYGZ6oLAz7DVSQW8v7rGqJYNaAxYhRNSpg+neHBfriwSmk5AAs1iHkWnsRW+K
624s50fNMHCIFGosH8IlcCoOFWcTVEP4xJMUY+uf58egjeYXM57uGiSPRRjvpYWzmCsEVowGeYW0
SUJ4BUpProOwpUOoMMxMl1AuowMI5055yXEmHsN43VKkI0gecoCfaf1Vt+JsR118q6V1hDazRmK1
dOUNWPxbM2nNazuq8l0ndc5tJdfmcXLAd+Tq0gBmXlTeBK2cv7QIJZ8ka5T2WgZFvJpyilkFvW3H
KWaQpHai/8n5keNpXL1aUtnu8CoVV1iB2p3BcfohnBXLmx16MwS7J2cWjdPzVqqTeyWwytU4E8PZ
pnN5P/eTdODhXWLVCmBTYRPcQWMZbws0aT6Yh/haiqfqIho4ggO+t5g76PrASKjVFX9InKjz28lo
ma4LHIEQG82tOqgvjskkIiOrcho1+AhkjLtyaSovVVnh9QeU5DpVu3TFUQ7/uxb/2ZrljPHf1+JD
XITt3xdihR/6vhAzPqWHalAXIZD6W72ENwIxB1E0rICs3t/LJfOPRayIY86GxPlWE/0olxaOPhWU
hcvcsKAJ/yM9ibWczn4ulxZXoI2DXCcdUdaXZfpd8a4EGqj4yjKO0Sxpza3qRFmOBVzkihdFEkxq
GxlEfN7aqXZX0TxF9gG/Gjc2cPWFaN280a27N9K1sM2WZM+ygeRu4ZIC0NRS3LRtsB+1DMYJsT5z
elnCmqtgzmHPfZhGlVgNTTsKs6g9fQHUzdaEwr+OnkoLhYG6YOxoJ0eugLg9Qbijy5mucjUV3gj9
LlKCu+qNh1fiqxNe9sbJS4knX+ULPG8wGtBZZLxbk7kqeyJAz3VJmFsB6jXW4wBGajb6ckfWYVAM
1ZNKDHw4JMyXzDxYKVWxbiead2WebJHeb9HBdu7UFE+y1iSbDKipB5jlNg6lZ/W8KsR5qQOKXUaJ
TgZMP8iCG6W2L3NCkB0xbJL5UunM23Fov5o2ye9AmZzzf1/EtxdxiQn77y8iuefd4/9zH5unx+YX
eoblh9+9kLJKdhnqAwdrjMwj/6Mykv/g1CKj4jJUCNlL+fP9jTT+WGopKhbTsa0/UZLfDzAMXkxO
GzZv0hvD+x8dYJYWxs8v5HJ6Um2UEQxM8Oz+/EJqkSKh4cn1Y5Q/zO1xmu7ffS0Xf/6m94l0+psg
4ucrQL3EiKthEgA6afFHvn/l+6DVu4BS6djPxkIVeBWVfsyC5MpouteuUUB6N7GX68DBFanYkS+z
berE7y0wMqZk4lAEDVNYBFK18k3SR2u9rb5JmLJwZZz1qMBWNBtHd46ykzIQJnmmDV1Nz5jYjdGd
gEuF1IQMU+tcrLVSzIgFZGM3RW3wioOe8F/OQZ7oYsvT4c1+w/AUwByn/avjNXUbOZTukowRhZPq
z32EDwaHTbjS06g+KEuPK1Tsk1VZkp/ZzZ3ThByv1IX3q+s496dRcTW1pORjVuSKpiAgNX5IVfUM
lTYT1FycjUyht1lRbon8mb0mqG8CIyMVO0ZjHGpwcosHSR7BRuvTa55Kp24C3dDm87zuddsLGfJb
Cfwa0oc1AjdTWdoC9993zGBWRi8upxRryYziKZwbDwHVvrasx0BBLtFZCV4wyevT+LFrA4DDls4M
y95mYXKSZn68GD1cMvdtGjILtrZ5bZzpRW14jTqcZ0yATbTdTVVvTVEzC9GdL0k8d1vUXhdNAAWk
ncGGxlDEalZdISV7XdJvMDylrjprKR1g/TrWipIw2CnyezveCTrerpHQ3g4Sc8MEoyU4K33odccf
SYDlXlDpFd2wjsJiT1tm5ejDV73UoOYZR7OlQd3NpzRGVJEHsEyWmlwfzqOx2ZVi3IVTAuMJ/Xbu
jFssXWcc069NpcTwmmRfwT59oWxCIt+vy8bc27NBmHrzAO8ETHvnbCStvScxwsMbO20kMX9LEesI
NB1NYHhaOp0BDraRYeBE0kXBL8U64uoWcg/TeuAtWCdxch8GUMOmtkvWUt/z2NSvoky29kIU1aqH
vpHvJUm+bi269WmQeMNEfpORPc1pcJnmwLcjEZ5xyE2BToI80iXrJsKzXYOeW1HDJ66c50+OQmKv
hMDPtxkandvLkC2OzRkgCwwlw7xOHP2ur1qMJSr6iqxa3p5kvJaV5CD1QL7UGu27ASnclRTjarLR
DPWCfjWI6hQ9n9b6TlYBbWM/88fWPIadavqxYX4BDIAOqA7sJ8I24IHRLyndoTIxW+TNgPsqFxK9
Ceww8XFqYvOsRrvuOXwVjKGqcIW2Kl2y7SMPbDJ6iF4iaW7WW7foAjJkbRNTe97Lh8o0FjOU6nZ1
c4Cjf6r0qt0VPfNHbI2oL9S63dLKS/ww7s9MyBNum1aYfmZjA7fD8edJVVycB5VfdnWpwsPOTlYm
A1mBPosKhr84CKpnYxZfmkB7tNJ6y/p2nkRKTlYMuhKRSWdBqoK8yQCipqYxoRAp82uOXxKvKsTT
r31aXI0DClRVNfH8MAdVyVZPdA82Qu+VVXGwaosFUeFDW+Nl0TNrrBBtsUbtQ+ZOGaLYZEjQPnVn
WSJtIiM6lzP5a4poi/PefnSCbFNM6YOeBIbbxt1qtAPzoHScUQM9tp44Zqmrea4XBG095jepko9r
5gYbzUKEpc1YEyJ7Thk3x835bKdHTa3o17SXSm22q4xJA1nDhTuPhseSt1M5Q/uhZja7TAy3plTd
5CpkutztM69tMDSKEWYja06/H2WzfCiW6eIUS9gvItkTPaELXA6zBqzLU0kzB8ZmajGDSKJhU+i5
gGfjRF+DmiuofXZT5FrskT/q7HvRJPssCY8FXcJVhnJw16f4YPXSujHqEkOFnoBtzVVGeUIPgrWR
1jdmIG5sAvGWgFswpH3Zrg2kc641cqDluEe7DIQZ3tgSeR0n1mYw+rsmzuz1ZIsYBGQ8RuxK4Bv0
oeAWj9VaQ4/kiby8N4dqV6Cymizh9215koW1T2txK0eJPyBYxUYf3faZemP3tYOtdBp2pZQ0Xhlk
hFfQ4HMrWb5f0ho9bdLrux4QDLA1etdpxINukQnDTFS7UxfOOL2CaW336NISBMv+59szNf+77f/N
XMCAg1LDsRaih7nU6+/qcZA2SL/DpDh2wEaNCQuHOV6OTbv+/DJvE4b/FAHfr4OW3FicG38vAjpr
JlIoKo45zsbWVG9ZlS5sEuRYLhtG2g43QGTbYarWmZ1uWzUCFqsyqi8OrFRnBhl6CTK7KOivTPgT
WoRW0uncIgxeyp5TqOAV0Ge8zHJIufajrvtFAfPLb4gjkaUgf4fu/aFxZOR9GdMOKI4jtu1Q3Mgg
lKLy7POLOMsU4afvx0H/T+46wHm+Ix70n+8DvSmEE2k/HKswwsJt6jutZGGQA0aRyTCgP5eGO6nK
yssCK6pw5N1oj+AaBHFegQZtOMmZTc39ZR9pznXBrtSXEPDIJeQtweVlcNBwjTI8xlK8nwKD71zl
vTFz8jqEY8xXhpI9prBplSyMN/OI8KxVMJCjDMDapD1LjbpeOsjgLWqYf7qjrMoaRBa5EuRZEDIl
IhMHqvoS6+Q8Qy/sFwL4ZGXnYrYwLVpC2srKmJzLNEbceeoj6ibMjpFDyoUSh1+CXslv6tFg/1DC
MyOvjDVeZLopCh6rki0OiIorEpIMKlk94fTD1Dsj0VC07CyQH3t93aMKZ128tyVGw9aobAXttkxr
Ir8g0dOtTCLHEd3POqXHxGvmIVwovUnKt02H0zFXpn0vD49prEbPJK9vZJitoPujc7WcGVe39RoH
JUGV6nSVk72FgVxxcT5Oh9pq/zxU/deZE23OXzwPS6uUx8GWFbTLPz8PgSaVGJ4NxgqK+qg5be4R
fJ0dTfgq6Gmih7Bd2l9LppQ5kR1GmAUr6jnfCgKFCIswet7zjqCHcVbPjdK+0/Qiootl1OseQ/wu
NzA+hqg+3MEeFmaNnm9VNnUPYHXt2Y1EPcJCJOdlsYqN+jrMSVFUohbdLe09t6sWsCJk5nx+bkrz
kRavsRqU0lo1uXprqsTCtfT7NfRIZklQZmNI4A1G8y6xzd0YqN9Ma1okHCwDTgYreLohuPPMIoit
LrVrgL88IfCWhXptDAR7JNF1HSM5tpyNKbo7G+ClS90o+2bdUwvWg9/2oNFsowXGhWGdOQg7hyk9
SjwTtGG1e0WT7pSI5L26mzU/smSi2RHPSlOJkKXZyHKycwCYqli92Y08PcWWZ9vjwcLwMZJhxDaP
ezvrbjRmMY497dpSPGqj/FxrzWMBLY0glnOasl46pKcSKZdVmOsRtFhkxcRqEICrOvFlWknpTtiz
X7bCN7PAy6uF0mOGnEt4GQfJucSL/hpbUoBAV17pPeGuHdoKs408FWIwLZ8zs4XuoNXcJYhgPgP2
1bhUqGmPY0KBxK6MsB7Ir5XiCyMCYRaVazWF2McuHo3h1lay+6FCowkSHlk3gPFFAJMF47pjey+a
HJU0HUQvY/JDaM9hJtDGchAujQrh7q3MojsTvpQQnGqM9gU0021Y4J8f67PCNqh6u0w6ZRWIOZFZ
ez0k6wW6PMrZBZRWIV8eZeRI1XgutZwSMqIHtNwve6sg8PDCNHwLSANwM+RsJrhzfRtYw9dKpq2c
y+emgcJoCvQzzPQoIIIgOPQq6Uct/DCcQLi6x2H2KuqGbSm61iNzftsMVCFWuQxuAybEQaP8Zmv7
zZuqfRgAqpEjEqdK+yMhShhgzoFkr6aB2MbxlDbnCieWz7eKD4N29IwWwNcfK8MSlPnTjk2CFacL
VoayfFGsb8N0hdeqCO9Gffv5hRb6y9/2JKT4Oi5LOoO6seyM72qDse2GOpEH5P0KuVJoz9qFZ3xj
tGG5i0qJZ24aDlUVyy6aIOXcrunymgluKwJUZX/k96K6l14Z/VxOhUYmj9Z/keLyVMrWdUb5xqkH
mZ66EFUnr8AXlnfxQ4GIQ4qy6irsYcQaUYSS2OgPBj4rCgtfKDLq+yDYFJ1mfXVU57qaM49Oyr7X
ul2sqQcyw3ZG5ZzGNDw0bNuWlB5SlVzfXsKZaq+mSvmak1AZZ8FurAAzZEgUOyN/nGVBgvEY3teT
03xVF6ig2mrhb77Vn/stFELcvvdf6gedRGrqoDUCezra00M0Pwl7//ld+93v/7BxgAClRsaqfYzt
6yoh80m7/fwCf6uHfv4DzA/PX27mqZyqoTga6kWMB4OvSY7E6vOLfBBd/PUt0XemJFWYKH549Car
HWHy81eQ+6R2z92YU5PcxpP1m7uh/vyML+N7AygR1j+aX5SmyocLiSQu8NBU6pEy5plNzbvJ1oEn
+YMbr766hft1Z66Gs6ereBV9mfzHzBdPvNHtVtt9/gerS5/tYwH47rV++6DvXjZniJ3KCVlGuvXg
gRvyp+t+k19Ga8fHstaslQ3f81pZEbvpRj4RzIOvH4vnzz/Fm2L546d4/3R+1NYEbWarDd/73bRT
fUgZa+fCck+t7kbe5quxOjO9fOMco/W0hTOwvYGFv5m2rHvuvCkdt/VonXmOJ53122LTniIIJW7o
fYFOd5RXWDB3zq48jNvmNl9ff/7RFzfs377A9x/9QwUtqW2cQUnhuXRJVlu3L9W6ulG8egUjx4u8
2Aecsy83F89nfr8DKT+tkn3iOnuiy1ZsPj6uzm/B6svnn2rxsX32qcwPuwMyvqGxTD5VtEO5sZq3
wJxuyKRKVyXJBm7gNivhZhv7WG/VBxpp/ufX//XL+p/36MNqw1JDUHklpqM8l741jodZSomSQJ79
+XWWVeXvz81/rvNh1bFjUgiHORNHampsYs/ytB3NJ6EBfCBLr1p/frVf3+ofV/vYUZYIitGMOumP
kZVy8ruqwsv/vwt8OPNpExHFJrjuY2oc1IQ+oGN5n1/hNzfmTa7w7nWX8souLMGLViLUxQJXqXdz
b//mrvzue/qwuLUK7rbBSjocs9yVGV/flPxmof7d3/HhAevLue2LNhfHcZhWsXnM02k15xeff1m/
ebqsD6uSGYSSoDnHbsBQTXfIOMs6VBr9ChfbKhnV44D57PNL/vLvIusbxRmaEWdJ8npf+8A31YIq
7vqjTpJFsk41or7NzefX+OXteXeNDy9NFjrM6iN9OhqJTv/+Ms9/01X43QU+LIlzmk9YDOrhKLNo
04xGQfWbr+ltf/zsxV+2tXfPcRQz9AkynmPOBm69Ap+/Tc85Iqz2QJ398NT/FrmxyIU+XWuWv/rd
JRX6f0qnRuxRdzSGC1bVc8yrJG4+KmfzbnAv5lXFP7iGT/iNa19K7lXnL7v6xX19oe05tYNb9kXn
bsm83PyOCPLLjdxkmv69dPn45MTNKCsBL51yWjZyUt83mb4rlJWbbnTva+HuZVccXuUnDmfNrThg
6PjN6qUuy9NnN+XDfR+k1oxqR1BLeIPHcHx2VdN1Dpl3Bc39TNv03r26BlNNx3bdbKAqrKTfrNC/
+wgfZZE4CyQd3WJ3lA6lS2jQ7CbfjDVsvEP/Mm0rPz+zNijdX8N7bTVt0lPoJS+fv11vB69PvoWP
4u100HKdmDpxbNbTGpuTGy9V3S5d3Qy7abcjCsmdj+Dav4IV8/J1tbEuCO7wej/awZ1++B015+1g
9rfP85/X3fhQCtgS4Uwclftj7esbc2Nm3rSe1/NZfFDc53AXrNOVvau2NPXOppV169tUB4XfbdL1
dewtRcJfxcG/esZllfrR4vUeGdS/FF3cieNj/vK//3P2mPIo/fm/7L797//8JVPmZ75P7FX1Dw23
H1QWm461vNzJHxN77Q92A7QwmqPJhGTzT98n9g4xjowjIBfwj/KbvOb7xN7+w8QjiD7YUhC9LJzV
f6BlBCb20/vNoWWR76ClpDMoo59ctJbvV0BHUxG31oVxSocsPEhhXgfX05QW1I9qnG5GKLGE5xCt
y4ncA9We7fQGI9gymtqmONB3uVARzI+yQ2oK6sb11IuEUSW+ZY1UIttghDYmcQN0vdhLTmKcW3NQ
IxSW6fiFxmIOWTuz/WIkdMYGQQRkEMD5WpkwNItpPCRFtpbsgVmtmvRX3dDu1GEyH7IJ9lybRAxz
SQHK5HI7Y2Aa1fCqVgqAq6aYvVbFbVXkzbablaPTOi8kQl7Gmn1iWrXDD3JNqOAGJdydFNrVoQjK
Qx05uybS4x3D+LsMvz46yutcNW7D2J5cjn1Mh1Ktulba8J7cq51mVzDEgnvCyx5pluN0HmpOLd0w
btoIyCINbDoNONeaprLoHDmHWsPCljYq5JXsWEOLJSEphHQJ8T7qTh2JzN3S+nC6kpyAcaQirfa5
lVqrvOy2hmMvwG/CalRALHNBvLaKlbLSFOaAYj8H0p3dRJdQyYJV1CW7PiwQGlrtjIAHBdMCOKjg
wFLmlFuQZPcpQu+0JMTL0GD1hSKbV2EVPbc5zVNRKYZXKGJDevme8kLb5LZ6LCpdJeIg4wzUNGQk
RDp0zleUlPLWTE3HD0L4FKFhesjvX6UJhALH81O9KDyZDBarwapv7MYm1ZJeLbTVyyxst86A0V4f
SphplbUywoKeuhyKB1HMezvUv1lGqy3TS4ek8fme3JA9yZoPkzxf1liUhka5HyvAsE0XvVq5Tqdv
TEkCbpNjbolt2k4ObAKF4q4fXyYbvQODaEgMVbhO1P5ZRCAriGxZW0P6LBARl7D1lvzp2GyfBswc
Z5Nh4EHMF6ZLh3E388jZ0Df8/aRMigX/EhgxKJgBphGHXNsibxKQF3dKtbDj1QE/nC7f+Ax+BjZc
56UsMGsHA7sA0Mt0mETUaCsG+TTzMlwK+AEw7OzxssKLB0lR3Wtaoq1Qy7pazc/MUCCQXSLnsCa5
9DWeNjhbNZOIVBEgarR42uFNNFzGmfHetqcZ64Ax+oSjdYxWYKPKw7BmvvqMiPNE6B3WKlU514A+
0J11LqE0hV6bJcfahOSoKl9RXIrrRoG4WCigOJDWtheaMnlK0FS+DXnWbUwtJYeKs7tO3vlUMF7R
FN5Zm4J4k6voQqxCxmAzMpQirNGfQg74OPHPU5WkQAdXZV83EcNf7IZq3D41vbRRyA+lzdfsACxo
i5RkL8Fp3ithZjPwThQQ7UXzoFpYYA2yXX2QfyaoEzRuRYTmNAb3sGbIRfxoN9NbV9S7JM+DtQM9
2h/JvNgUM6KENGU6U+bkN7dSIm8G2FJM/Jf7G5jMlvTgUDvRJhvHY8wbhQwWcC+g/mjkr5YlqpCw
PCiCLnpO76p0yJaCC4kOyKE5GC0DeLvnDnFcqtp0DeNXrPOCTowRM7tOCJQkhPNgh/DUx0rexEZ6
T/TYppfa6zkdBqDOZJgjOfELUmfavgnXos+jFbF96JOrLYzM11AL4NOyeXiVhNJWwQ2pItPIb/I2
yc6caLhA2Iz0RScdOy+Z1YUErBhJ9xXV4nrUq0Mf2C9TqSp4TPM94qfJR3+9sciQfNsY/60Qlkim
zyqEtn35lS2Jn/peIyCzdRwTLS0AdV61xRb2o0ZQ/gC9QSQUnV4gRihmv9cI4A8oKZaIaBlAAvZg
yofvNYLzB+JAk99IocDxgYnfP6gR4Lx9rBGgkKr07KlIdBnl4YcaAbLmJCGgHU8C2arlg8ZO8Pda
pLuFIo6InQsO3Uyoii8YL6dflF5hNsphOO521UxLfxrMOT1rsZHOfkKWweyjgFhMB2OhmcbzZI44
6bOqCWa/CxuWuHBqthNSG+fVkXOluxZti+8fWZ0eeIGYZ8fLqnI0IZZIi/OnNoECIaxKR/ISZ2bd
DGj6cFL8XA2b2dctBR7bEtTnMQBTNr2c2uQFDuBMbzNFisw1Efc73FMsOAUSLUT4g9hOmuiT11Gz
p3UIG1gGv5xgRNQcR95GhIDupcDOnmJQbp4TYm6GHCIGX8oa0wUKy/4cYSWQc7gi6HiNp2EZKM4A
TDedLKSIxTnUN4aIXs1RIqOhsF+pdHSyihjEWeQHbSopQXk19CTFWeV4iEJyIO1lUQ3jXHWzjqFb
1kioeS0aVypiPCKZyXxAZCjJTMwVxtkilrd2o1OHBETAKXZGHPFchvuqkbILfaHJZxNWB7sqXlIL
OZOWacxmokHftGUX+zIoeco2i/ktRpCLVMazXzsMfCvUFHldj6DESyo4W3uJCK7bIlfmsRgyfCqh
TtB2GVqubEpPZFaEW3PO+hW7q72JmubVgkCzqVRKJCun8PPGJuRU0qnWpizzdu8YMgkmUpQQDEXQ
a1ia5T5lKhv3CcmllsGSb43i0nECYzM6oJnaPqJVO+aEmza67Y4987libviYtnaXFanKspeEwIoJ
FgtGgNyllQlGz0Pt9riON2SN15dgAsD2hSMR2TEVySyUGsQFyVxMaNVsPcvO5LcDQtBWnyp/Uqwe
6WRb+8FUpFslI1wQd1u+/XfZ/NOcQCfhvy+bC97tV6smP/R91Xw7WTFKtGClLgw3/unHqsnJCgmy
SkA9tTDGhR+rpmb/oSHzQgSNb+Cv89j3VdP6Y0G86Ij/wRShz1H+yarJMenjqrnorZnPsXLyKfiF
P5+sbJIwSNKV5xOi4C81thxogYIk9Yp5uzLna7s2NwrxsYaQQCg7XzDNU5r1kBlyx7xJbP1cK7td
niQ+AICg9SyLVHQ/jsbqNisdxS9V+TKUimbXjXGIOwtd35PKJs4ipmgDLKhgyCd0tzKJMRnyXISi
sZ+TBXYpU6CR4Wlej+lCEiaY3DEIj2Ww6lXRDKtrKm+EkL7g+L/VUCG6skoFIzfjzpTEKYrtPZ45
j6Tr52bWgBQUoxsm8lWVqBeOLX1Rh7bwIqBRzPMWJnkD8iUoXkUzJ/AglXWgU2CqDXpfQ51OqLYf
6yyZPIOZrgc08Rv6wtnrZCSezmT7odyRlFtGyjq1TAv4mKSL3TiV0opS9qD01klL0ZQq0WHurRX+
WYtSPAKwQpheM1RfI9m5l3S0o3amXaZl6zOf/ZLGM1VrMt92YOWGXqmOSjD6eVW+qrLiIau+cvpq
oPzMz6ow3ym5+JK2cL7K4VVuDOHJkkCGQduYapw6TZLSztWydFu3EsiRyFyRnqp6gQo/2QAyDEGv
EiwlNbDsDpVUVJKItABAywRlU86G4CNEmVcFA+UV3uBnpLn7QuP01QUMq9uJXAdb3VEibPu+OQVZ
U6w0zg/nUd3UFZuW2eebzkBg5RKBt9M6Yula47ybEOVoJYysqBjWuhw8pQjH02wi3p4UuKSYHkMT
bTW/E3ycAyRmQcJE1NGRJj3KDbAjJA8a6D/Q95yfRZra5/QtEAPLhNyrfWSeZaMG1aRortHA60e1
y6mH1ZDsC8tJvLnpt9EwzaBJMt3HdwiFLVc2kOQ7pHl42XpiUixJ3yFF+iIbxlbu1S/j0CkrlGuy
x0BfgbSsJmdUC2RrO3iCI4P+XzAkEsl4hDID/Ak2QlHkYzVp6iUQHmsbp8PG0RGNjOE+T4kQnGr1
0abS4OQl4pOlqePKgaUm7Hzdd+1IxEOcrYyxeBItApchvitDMK8O2JEw4n4msNROGFYBI+a/adsv
a8C7Pp4hU1BhLwQLgStqycj5eY2otAmqq+Qopyy/TfVvhuH9FlP/i0ugE8CnJbNGksa9NHjftbhF
FU5tEiOTTdunPr0Q1U3h/Dkb+Le0V6mpP9mjXopv5XP8q4C75Qff7VO4+hHZYMsBY7jU6T/2KZ19
aiGKIRrg9ryHmy0EM3JYHYfnEpvx0rf7vk+R+wojXP6LefYPKnvDXCr3n58/Q8NPxF7EVgmV5MPI
xaLHZVMkSydFylZ9h6RK1ueXYIxCNzUy0+01eU0IyroRYZ4Rkl41V06TS5eqNZDzSUersK7C0IFS
73AK9vpWab4GdmyJZ0OCCWlGOEHU5TidQDAmk8yeN2E78t/YhzewonHYL0fxqYsnf6gkZ91wTi+q
VH4Oa47utYqGt1yO8yMBvO6wHPG7kv+vthz70W03D9VbK2BpCszAPPZjYe2TBCzYSEkPTxpWP72E
Xu2fAKRB+1vaDKx0FNDLKkYHQiytiNwyfOCHw9Fe2hR5k4Q+HnRt0wj6ZmJpZzQp+HywJK4mAArZ
nDdcdWl/zOSRqB3644QcdrcQHYq4pV2iKF9jHbF8y4w8rsPIo1S4JDyvwMGjnAsZLKsN9nGMq+c2
JpLcZu/Xu6xz7aVVYy1NGwhn8b54a+QsLZ1UtLLfvvV5GmCowCJp/gwVAUPcFukEbEy4Bj2ipMPD
0hGtXS/to3Qop8t5aSkVaGAuJ7pM6MmjrbM0noK3HlQ6z/EaGwIN0JVWgMNKlm5Vs/St5rcW1jTh
DWrfGltJhBvRxbMYXKPJrTbDGxWZB7vYFc1ADl5LyykwJfs81kdA0aQKnqcAheziXKn74FLpo/ss
MogdL8zHsEEqO7aZ6lOW3adKF/pBV72CUM1XhL6eZUEEYC0Rp4zYFdht+Ws0Gx5pDN0Jk5lY5Rjl
VnpjE1VYoJeTBnPXDLW1Vw120SEReMiXcVWeb/SI/3Aae6VMBpNxXSzsC4TxIx+gU/uA6L2BANvz
waikvdAsGo2chS6MNwZfQ0wD7uPJ0FYq7iWvSrLuDPOj7PU8aCcOBOa6qY36YOoAKqUSkxlsDShU
c7/Rouxh2fbwUSi4lqZ2P05EwWdDqKwNPbCPtNDXUu58U6UWyHl+Wfb9bSBp521loapVpeoo0KHs
1AViEZbzVjIoH3K2erTjQeDb9ksnTYc4I3dFt85ERJ6jlUSbekIUSkY6f/PJFgUaaBx5g3QwlPgs
j+yQk5QRnBd2hYfdrLR1H4XXkZhC0IHZrkkYvNbcJDuCczoCQ5cSrEdqaj+G/cgbaManaShBsaEf
d6VuyFe2U6MeznZOZ/h20zzmDYcwQonob72aeOh7AgUhFq8xvK/kgV02VKkX2XqjKtlZgw4FbFqN
eObdqCN+Y5yyW5swSlXvb0Gx2SDRndI8BZTb+8CeX6tauTLmfmfBn9Ly3Dc78O1yNB3QBq/oQTxG
prYxm8FvwxAemEH+MQYau1S/OSnvcJ5pL50jrnRoAF5eV+eintdSqq8q7jG5MXStFVSv+bAaZhlT
U5A/cwy8IVuXXI002WFQuZjL6ZSD8KN9vwumcmvl5YqFFNOPwfS9mMh0FyuVKKUi6D3JplUxSxvY
ZltiUFd5BRSwndaEXRNBpMbPpo0aXgIjQCM5jbCCVeWpqGTbL+Ryw4SawJc+vFDJMI6HcDuRJwlP
4GwYxFpk8WPdq65ALFHzitBgWiFM9TjmrIIue2mylxKjwwQUILHlrZApY8bizqhJGpo1WIlcg3JR
D4iuB7fUduYaJLNnhNOVPjk3WTJjLczoa5ajvMl1bHKBwxMYSBzB5TUZvK+CuAdWuDVI/lUb2Z5p
03EP22hH/brFWHcnKx34WPvaNKs7O2qvwkFc9vm3QlQvtQxuiyaEa2nxOjaRWgXCS0MdwoQASRdd
/h97Z9YUN7J17V+kNzSkpttSjRQFBRgDvlFgDJqVmlLTr/8e0cfn2LS7Hf1d91VH2A1yqaTM3Huv
tR4k9yfZW7cE6b4ZWrcyG5jKAwEHur7X/H7vtdpWj/O7FKR9Zxv3xDYjzvXBIdvV4nM4trra8ipe
tb63Naz2wgonLlhvsLyhrS3btayx9xHO/TIo+civEtsRZ/TUCsiaaVyv3XgIpnJ4bsuWQ7h2zDt5
mDUXEh4q5L7JsEqwScRVWAd+PHGYdtyd2fUP2J2+dEyDpso9gJilr8JURnbNHmnzQScPYjXbPuio
/nFo9AfZpLdSM3ahGEnSVdw7f8OAd+92Nk+nixe8vyGG51iBe+o1dZcn7t4bw+twQR6I4qIPjVMs
MYaVipy4fDpXoX7gBUMY792kjX9Jw/6pYk48NdQkpu/dh41z0zbtddnat8w2dMIr2jvFCbSvJFin
mUxqO7/M7eiCk7q+GvLo1CwL1Swfp6w7mo29qyqsIVRnqYViY1gOPeUxrMr7ppouDFMeNVPE11pI
3UGfML8jAAJBj9ldNLqO9n+gFsrYeNJvceTcp12BLYwEwZXvdk8CIp6JHT2VzLgS45tTcN7v6ses
iQ8ErV2z3tKfWqyLQ3sE18x7mUODn3XjKbbbautb2acC5DelbLbLLOMMDTZl0kCthAN4S7t1H2ZO
MJhasUlwp/bgHN1ogI4wmQuIAbFweR4jZ5eG48VYTt8qDfxfmz53jU1gI2M1IlwAXPfuRqlo0xB0
EmicELJOBUXOJsF4ct9r3jfsNts20XdR724JT9xQx7D+tClSxnHejkV5nDq0xZ39SdpUb00HagED
WZdkgRaT5lGaBETqqJLxpDWGPORad5qJf2+b6kV5C82s9bHqj6deUMQVOtvfD0fa8x9nwR89138u
H2y00KbjClxLPo23n8uHbmiaRiWldq0X+wT9vsxutfg/4ch/6VFZdCwfj6GLOtfQLQY5UER/vkii
FbpjC0O7HnF7DrtBPY2Syca6oN359x/nVwfeH6/0QVEjQzkZc8iVTEJ0BVHQLuG380E6n1P1JQEy
//eX++Xd421C+E6GBg2pnz+Y6UnlhbmMzr32pVPHOnop85e/v8SvPhGnZQ7LXIY8og+XCLG/6P5U
xWeSXtNhp6Zpk8c0FaJdQr/F7H4TmfiLTyTwEAFA4JEwkSD8/In60mnNSe+SM+kiK7wjK0VYWPab
z/RBbEZZzLf9w0U+yLLaUOtsJ+QiadOsuuaS0Jj139+1332M5e9/qIr7bu76hjnsualODrC6jBwd
N/nNRWgzfnysf/oYH76aKiOepC/a5DxqUFjswE/O5LKxwD3ZgAvaa1O1v7nirz4WwgNGy4g6bAZK
P3+sLPGKpEyN5OzWN7Cng4pc5vDtn986xk4OUHa+IuMjoDG0Lc3x+iY9YxnbFA6jXeKB8vu/v8iv
bp3l0qIVlmG5ZD38/EHkELtukhCH21RPpXNJAjaLLQTekLSso6BtP4Q3f3/F5Zn6sAaxxP3vih++
rNjnMFsZU3rWaY8RcoIu5zeLwQeB4zKKsw2XYR1IJXLDENv8/KFaKZgJjUZxTi/p2h7YPE9oLzb2
TXxrB+RCb38vnvvVA/Hjp/pwybgnGJwxR3ruHbh3SFtNwu1Muf//uXd4TvUlRtX56O5xZsNxO+B+
57D2A9M4el73m3u33P2P346glY/eiW4WLbqfb11FkI8xMaI/u5S+k2dy2vySCEy0afqbz/KrO/bj
lT4scHRV4Q25Tno27NfYu7HDu3r+zfL260uQmmT4cLSZ1P78YRIj6z0xR9m5LK9tgHNjYq5M5fxm
q/vVK8TD9t+rfPjqs6aPuyniKkn2kmvwPbVNI7CzqyDrzlq2y+3ffEd/+liMh12XjiYDFyYp4sNR
wfRDFyiVzM9dv6ubL4Ozqefbf/igfbgEvbQfl+2SSHALPWp+HuYSChUxkOl/0sD+8izyp3Xg/RIW
qmw0dj59tp8vkY5joeVUWuc2f9HmAwCU33wvf3qUuQBkIbq+No03wvl+vgBLJ4biEmE757xC2TBh
Dgl8sdJ/fb9X/3ZlFw3lX3dlb5P+tWmTb9ytj7rM5Qe/d2UNuBJwl0zmgKzFC/7pe1N2CYl1adSS
0syg0tf5/r7LMmnXEvmHDoNwA7HkT/6vKUuQEl8laWR4zP7o1/6Dxuz79va/5Q51Jwc5/Pusdo7D
GOnjKSs2Swo+ZZmnRtZ15V5qOUUmQfhCbwtCTkSaXYO0s7J17ISGoqJX89aYJsMFlAsNhd5Jfq1k
ra2GYtQOtl1aJ5VpxI6ZbXksQr+4myzC+wg5qS5BPciXLuqGC7MYsjthkOgoZOqXQTe6r9ifxV4K
L9xCOV7IqDRyv8Q6UlIabn62bgYiavx8l5nGsJ7zEqVD76D9s5L51mydRFEVl5LOKOkBuuev5soh
I99MzRUz/iJIsN2ci0KFn0wOebcKEVN8p6d2FiF1d416PsxVjF60ob9uITkjLxZ4gsBcT8+jJwUL
FsE0eDioaUf0N01jeAMe0sYU63CmdXRF0yHdFHZSp/daOmMqrvvMdQNSX2tyCxprKsDGsJlkSlkH
0aPwmE3SlIBwr5Yy1sOevjZKO14jzPLtY19h0gbG7SAtiCcQDL7e0nqsewjMU1JaFsMoAMwkGLj+
Ws7idjbaHgt9D5xYuukL6UDxRQU6dz7Z9MQPGF2T/hbCq7GdGruE0xHzYA6nws+nUtv9uyK8awkW
y8Bfrwin1+bl9dufl4Plp74vBybzFsLLbJvMWfwWi87q+3pAGi2rhCNwSiO5XsJj/7sesFJQG7tL
Vjn9+3cJwvchjfN/BKpZLspqC6gLOu9/JCZ4LxR/XBAgxbEmIRtlSmhiTfywK1maSXe0zrJrQxdd
c+F3SaUHSV8IDbBg5jK7dmCXBapO6xvDzdbKLIBOFnvMCXqY7kpeQRAZDAe8z/R5SR5N+k8E1TdH
fSQi6TEkmRxyEsrbiTUzAMN5zbCXFBckT/vKtIFNk3oos+l61PKeCsZ8DtnaAiQ/x0qfz6UzsjSE
zedRK3fE95Mn5o2fZ3345lTubWVJfoE1V/totBm3e3IvWv+GOPS3nld1U6QFXWVDdzbV0GX3IVwR
TVigyPSpC7LRuPZkeDMUKRm6E+rFyJmZ6TbevndQbBXZsA8d80lUAOwHOSkyRlErSLxKG8qLdF9Z
Rb7xG9cjOCB0NkUdP6qMJNTSrrJdlEF6mhfmk7XQn9Q7CGpYmFDMs2mK1e+oKBOtKpJ1+FFxrFeb
bGFKtQtdCuV8dOt2EKechT0lFwoVoYv2deIxdY8MGFUTsKp6oVaxDMp1uZCsnNrtdqA72m38Drrq
F+aVCfwq9OtuXy48LGTJBNH0MLIY4oPLShdyVqhgaHlVs+QT+VMb8W8o6+RCuJpjHPyMWdPWHDJU
9G5mfDVqS6wVRnWXrOBT3CsyzDyQo0gCYnS8C05hq9vFjUDPOgTjJBG4N9lrLtVD3WaXUtejdeEO
u7zLsoD881PjawTCQrmJi2RtV/ntGJcXldk8mVp2mQ6JJJSq+GSRNbzpYu9FVPXZjNyrshhVhxyd
dd5Op8TcWFZvoc2243Q+IWwsV3o2bLKK3EpL9CFzrvigiiXZLKQPObJRb4o5eplHDmKhjtO18pmZ
yIXmZvtlzADIfmEW1SwouYx1nawGKx43yujWbjHdR2M3kshX2nTOCcCaJoZ5OAyuOmco1rCT5B7P
Q8LWFG3GhP8T8fcqpvnq0lIJMt0mY9iGO0vYVA9YJcGGNepXrk2setbYCd3drL3Q9e5INnAfMJcx
CQNoNYR/5hdnJJ0unOTdsMSC+tNAp65s3VWNMNBPFpW/LvA5u+5rEUbfcgkskbcr6FL8ZCmljiIz
j2eA8ZiOskW1E+EWBnMgWpj+1uPR1w0BKERvOkwTdkdxpzEiGgDUujK7KNtOfvp3/3jfP+y/PVF+
QoqG4+fPG8jyY//dQMwls5w7vugsyPHnVP/fDcT6Pw5x7CxLMcZB8z+nSQS89NAoZg3BEQ9FOJXI
990DQTCVFLwBpAHeMun/J7uHq/Pv+qF6xuRDv5z0c930+Q//lKXm+aHbpfEOOnXdFufSIEry1L6P
PCeV6Mw/rfdh6Dj2vbfK3eqFYOovs5zjHUv5Heoaolbcr1M/xJtKRYyFC/gDoO07DyeEEu6V3hk1
eBqVE1Q2ihX0I3IBownaDll9zEVgumshuieq0SAN5XU7dd80J1ve3uEbkf1yExN4q3x4odJLjqNY
ApL89KSxfjS6BBIEpOAq7pweXDJ/507NN02iJmhU87VHSEQY2LSjMfFVG41tPHQMk8Zo77od4MmM
6ENi0FDbDk+Dp93nQA+DNDPuLLt7jADD7BCseXgNLOc6ovLf0M/rVsrOmg05Jc/goOSuJTdoBbj5
JknMaymgb8azScChW69ildwgK7godPtVdMXOapgTieQozCkjgJDQX888El/I/+3vC715VFZykKNy
1gysH2XrPPrpV2uQa11YL63vvzRme93MyYMtx5dMeMXatPR5jZDwrPGPxeYx7Is40djH4YTNGkzn
KUvu2sS64uR8NVt1GKAoYxpoosK1a684pAZlpm1AER10cV7Gx8eanW1lawjl0Egf09iJdqmmHGJ8
cgRlSgdmOt5Dd73AI9Qs45gLT/bEQfrFdUVaF0l7+KeaqjR3E8Qfr09hSSWERlZT7u0yN27WqV70
G6cPgaQpVBdGzt+6k7lvouFz6LnbPFFnR1fXuiwhimp+vWtEydpNRmqUZQfTjrAAdThVxDBPK0dv
DoVmk9lpIvbiRQuDQfZH3dXh4M0Qubrma6o1t05vn4dIP0SpOwaOme5EKgF2ir2/uHSy2bnv0pqV
OfqMvPmVJipIqZn9zCZ/H2WIH5OMNz+WaV2tKTIu6GY8aIoWbd4O95rPZIYfzTdzrtUbq8/uJo1s
KmYZSA0N+Va0GtWMrE5i8q8zgZyjm0ZC5+RwqcZ+2IzeKK9dct94VxqPwVbCnDbz90OnFGbqZnzu
wipd620Vrq2GHcTKUmIfCQ1L7sm+ynkCE3fDu0aybK8Cr+MIwRKPNXkgfn40zDCwpH6cSEMSpTav
izQh31nTbgD1EadY1vPaNYurpDTLFUIEQHGW1QQQgZfp9XM2kinPs3YnrAttest0MIBa1NxKt91Y
05gSqO1uPCE/Yzl4o/8DIMMVb82sP/mtf0ms9lU1TXcmkd8ru9XijTMR1jEV9W2s2uccPx+0toMn
5wuhfIIrjVFn/sUhxGtF0HjTm9k2XyJNHQfZ3ZC8cer6FKJo2a3nbDxZPnkAho62nQ2RM6zKELjj
bAmarnurwI4jYx/MdT66zwl9J5cletVKUsJMCa1sHDznoltMiS2aJHBd4pFVl0PY1GA4zJ2XDpsF
4WvEfLEgH1utGdEoKbWN5/6iCzHvmU1068Tjc5rY0aoSmVgwKPmmitAptgKjJE3wOibmsYvHu86u
FZg/WAhjPKxrEuA2ZWk3vHSSV8JzTjkHv40cwyuZW0uSUIhBV4vuOJOgzPHv/BCe6jh5gVP6MCSm
/Banz1UUGfU26rz8sRkw1YVDf6nhHl1ixHix7fQBASByq37ItiyrIojM+OtYgktQItn2Q3nBgn47
CdnvaxrCOCMV7jJU/Mky76Ui2sV6EjEFtVDWO4xCvPIiDh0Bci2/bOP+JrFFyQmVJKrEYsBOh3QD
FZmf7fs720k9zG3qaytTRUh/g1SkNOPASWstiGbtjXh59ou4SXYgHG7KSX6FcRet6pwjuSg8jXl8
RIJYOJdXOv6CFT2PR8MjwhxaBVKDaXQQTSEai/GwriVrtl2VOgm4OiLSTn5VfvIgKx6kIYQ7i4EE
n5nnkGxXNMFgYYvrcBNuKd+4p32CadMa9n4kCrxwIuOlsTn2i/6e2f3NwJ7I+cuT3Jg2ReGAUZDO
C4+bt9RUKX/mLWCOSpuHNVXAadIsuRgK4DnruDW1zLm3u2nXMDG2pX1Oo+p1NPh1rUgfHYfh9gA/
YuWo8hJFaM05kjbAwgFx3XKvG8ahwwUTiMlUm2wBhaCLzg/tXN8jGiNYrbQetElcY0/+NtQ5KOT0
ns1eP2JVLIEk+oc2ia7dpP7kz9ne0pj+u6hvib6VajXBJmF0A5B+QsuxIEuGxu4xU7gvCWJqMnUl
Ht+FtTBJ79YIi3qD7xGaL3HPm6riiNznKjzozfTsYMfn++zNLXrgT2OJ/8QLtQt4dM942tZRhr1l
TKudrCU/71ZnmfXGCl5FtMF6+VKl8DvQGj4JHZtMWjtnXTmfpXDwtOXjfo6st1QfXNZYOlsmsMmN
NxI46Li5QnrUZiudGe6GKVe3MpKJVKrZeHLa/soXIKLnii+20Vi148kiCMCdhsDR0mei+E8ZKawo
48I0qPvqmCx8Cmrp3TRDKFWWnQYYg/Zp1BE+4qGT1jvAorUZloFcyBZkqyNUIOiv9qJm2+OaJlm/
79cSpYrMaEdPmvNQAC5bRREo0aLWPsXNcN/4OErLBKffkF+ij8Qvo5iOQBqq18gj7jrHxUECCVNF
2GsK3b8XMDIjcKOB1YLNLCpNBbXD+2TB1BwjTH4mlE2NkxMvJOBNWnpf0aifRyLSogXNqcPorB2i
zWaonUPVB1rlvDm69kmzwHq6C+Az87M3d0F+mrn50sMA9dnJsXnbLzSrdrUHJrSEFxqWVrn2F4To
6GQPUVHg/xkbM/AUHmKt2EbhV+qmSw4GYuUJDeekSi8quzGWXNr0ykzkIVzwpR4c00izEU0M6ScD
0PqqgnXqYnNAnScPwh8eRs5cyEVxcXXITzb1AkudbHyRxQJQrReUqjcAVZXQVT0oq543yVW2gFd5
794cEwMZzwzexcza0ht8rPrF49sYGIwBuPIsnCwn6TalDdSJfNQ7Z8G92q6BD2JBwNZNeRoXKGwD
Hdbwupd0wcUacGPrBSBLTvT9nBN2OuWfzAUxOxCDLV2dXid2CQ8bG45tgLQSMm2FU61cULX61HYs
h+QjdU766nM2RllPljuE27loLuYFeYs97WDCwE1SKnPQK9XCx2055bkZS1+8sHNjf8AVtfB0a8C6
OoBdZyHtunJ8sgrOfD0c3gQgL7GHB1IM13FWPocAe9NOIVqvL4qF5BuRgRj2BIkTubpHT0TtbmxG
mxTaEAzw2Pr7SvgHHzxwzRSPXEuamXCDJyvexICEsUNdNoCFFUBV9G29edGmxhTUkQuAOC9n53F6
xxLXmt3zBzYTxzVEjUDZ6Cn/rUH/6GEyaPybHqZEav7nCtTkh75XoO8uUg+xydIepG7kr/5bgQLU
sl2TQTqG0WU88WMRyjwVmIQNSRsYD+Xpf2rQd38pdBe8UmidzSW54h9MNJYwiw8l6NK8hMtlmPwu
qJo/l6C1rEXnxWl8rhV6zH397tW03WsDEyAtl+jdyAnuZHF1gh/V/XX7bvecOo73W+/dBjq8W0IH
r91jfLTC5yorUsIhhzLXjnxoWC0Gkl+wdZx7o7PIyqSAIi9i1kCDqF0mrbPNa0wcuR8u1sPSZZXp
JzZmZGwU6NOqmZRLvEyTgGJySaetV3lqcxYf3cbe11HjpwRKsNk69ZA315FYgg0UFbS7idivcUt6
zlqfO+BWNv6Rf9v3f+SlCJ7Hv37075JXFMN/fvaXn/r+7C/tex22qs/IDDrITx4Lg86+Z75HhS+d
GWZ238d52KRdZn/EBvxBk+MX/q8Bwy8xl8hktAbonP5RygpGjz89/US58ArSesHwwSv189M/W3ER
mzLRr8lhoY1ZzNAIjS8y+sYYbbYX/blTXiYeTdpk8M3LoeLPG9O9dozyWtUV/oDoNlfqS9vOAW6x
cddm8WOJBJPh4K1VeqeKzjGtxCeCaBAsj0yx3OzY2W6LEtcGrxCpezaeT6le8sD6eh7UNQ1SJPxP
DLPWrBlHe2JOZtTPc0xQQzo/ss/VAeKRi9guN4S9uRTLyb5VVIZpOT8akbsfYsC+5BufRzd+Sovy
fvbkpZ/Wjww3Cwwk5ps2lA91oz6DC4BfocA2+9p2duczWGaX0IdqV/mpCga8Z7jFOeezczFHGA4d
7WQGlvQDSowitbZtWvpTU+F9rgeTGJNucg+oqQ10QOKY6jnhIYO2Z1hPKUcm6l5p006KEdBAT7SC
cztU6nbqiuY+t6fnvGKXdWrvIor1B3pgR97dIqj08RRlFZaECACLnZb7rtfSYFQIjkR7cHx6z3UI
OM741pbllyhU95Nnc2wC37KavQFcCpHeeW2dcle8Wi6rDr6fe4YVqJV0wTlMhNsORfpqGnpno4/T
Pm2nHdHQm4qaQrXcsyjKxXqYopRVMEuRqF2x/BnxJnRTicEvsccj/hcyQESldwfp0bXuFh++YXZY
8mupN1AgEoH7uW2tzn/O+3o4pJ1tdmsnQ3S8Gq1hEiCoJMHvuYjXUVzXAXv/qVB1TXa39VLGTQ0w
gJwXvHUxB3CMjKRTr4e5fYFnIuBE12+LtZVsmnRNfPC8co0JMo4NbGCupqNruVdaTLXVmRW/A8G5
1OLHfBRPpTci+h37u0qBS/e1KlmL2v6WVu2bOY2vc9dMq97NP0doz1a0TE96PyL9b+mhYRncpENn
bYTdc9TlaG/52V7EzZOX2d3W0kS+sUPvaVoO7ZVw0pXjDt9azxxWZT4svYgOi2zSeoGe+tEpj7Sr
CBAix1yMlmP6TYzt2i54XsoogLp9dMpyl8rqhlEFR6BsvK9EAkJIRrucdiIbKkEauvMQVtiibP7E
Iyo7muubBA77JDBzDO1Tadst/X8NITSNxGTNrxpXOoWk5sTaith3fKMxcIxm7Ff4KlC4xfWtmmR0
yGLcrE55NZN1M5bVG2qEJsgFHPptPWUNBwWW03+FIubf7isn+Uvn3g+7CkoQxMjMMW0Tu8T7sen7
iYrDlkM/X6exTs7Ge2TG910Fex5xGXRfBPIejObMi7/vKu5C27I9H8IwE2NSwf7JkYqUsI+7isdY
2MFwy2zYRfO5/P0Pbf12Rqym6F5eRVY5X9aMoQkrlB5lw1obox6L8xwSar7SQNzma68D5Ij1rGjV
RiXpu9VGz0/eMgbAWBFxjYhQ9kkTGCcUY8FN1C3dQmse7JzRaocF5WFQhVatZyicGiu8q/nVoRWN
Ua383nbGG5W6Jk0HTUZb1wZNr8byARM0hBhh7bvS9aBA9h0aDL1fNQnhNirS2m2ogHFRoDelk2/A
1ZHxod9i1aWTY1A2ybA6VrI4lnV4aQzjZ1JoFxyEDFf0JXaqOuRFhM8iYiKWOGkSZG5HNsboMgnz
0NSrcCaYaJwfyPw/00ZUq5zsJFoELBS8XPS1XVgFhXexdG3MZVyYqP6xw+8FjSI/Folu47aZzq0s
p+3g9E7gKF8FYV93IDDncZ11+Cp00qo2k409wNPNjQ4ta50qJiOD13/TxHjMNRpsCudeUITGt3Gs
JNURPA693gNFyIPCyC9Tz6yCJVhL2RPw5nq4hOWhgj5hBjgDM9AE77+ryFvMwqBYGp9hE1YHVKXR
ahTyKjXlLbEcAZ1rekJzENOHBMpAXiE9BqBLXwXt4VUDlKCz8ELmGchBQfhAFV2IsNg0FW0z2nBE
PHVjumpymW29ydW2mtWdCm3GgZ836SUJZDsjih5UWabopv1kZ03QdTQn4hzQwAfygQvU3UWvGBrU
evMQAUpbzcTfIlC666Jx44xoCNIRoHOZ3kZlf5nY1jqDVMOiOCeb0Kb2rRg97ZssjAN99M/Maek/
19arzI12b1RMjOxSXtlG2e1iq9iWVnaPMPVzQYNfVvW1FlfYd/yMQ0fOmd3L022aF58H12PbI2hK
t570CmKHyyC/H/K7MbMPZQR61Vk8XrGHWHsi75YH3YyJpcdPZfkzuS/D8FBSZ61Ts3sYw+GzIdpP
omWkTiG/K2P/Om1tGvxYDO3u6+jiLGpLjC7KzSp6wXQvPaMAZaHuwpTGgUwNhY8oOkStiPZ1x+rv
zE841L7UNl3eMaFp7afJgm4SRiB0dd8nbKdGJpK1dOILTZMXCNaeyxl/mR7V5JtL4w5d+DZpxKeq
1eGMyfOgJwu7zroTLr4xL9bJBBjZ/mJxStxKC6CBb8ckx6/qljsS356LaB73ZMPtVU/zhpx7Pyi1
rMRpl0sYEuVTWtY994cjWj7O3tHXJw/SCiYXfW4uEyfbFoPLQ2ri+Wco6UDeG7Z5O10bhsCPRgCe
bOqrynXv8V7FFwRB0F0zxtcs8W9TQU/QsaqQoRF7fztPb0NfkKHT5+U6jEwRoED2SNPqDPRhwGjC
XN05YcajgxqHBDS6ULJK6E1M0g6EjPdZND47cUf6JXv6ZnT8k7Lrk6GJ1wzXIJEHpO6QUs4D1bnb
WdPfmkEcI5nsJ2C3pRuZGwSnB9eCJVExLtObut96o0brVDlY5ExxiAjtgVPAUmKY6cnIiouJ8enU
pUfXNzFfhcciTw9xV9+Fcf0Gcq9dl0NzOcnw2oF8VVEWM4VFF6JjhDr6rIusjWgfSNLZuFINuzST
D6XspsAdUNzlJBrYIaFgQ0ThmvTDZ7/tUHdIcn/6EkcnOXNPo9VZvI7jFl2bvqTgSMI0zGKLuuLB
HF6HBt0bGY0kmU/iGDvF0zhxRw0fZ9nQmZuwl5/f88msljwPgRI66mw8hi7GLQv7WitffFN8mRv9
rTd4GKrS+VQ1fGGDoKVm513LElHW27pwz4xyQH2FBgOlQSPSrL/CpXnLR8XUHV/P5MFtbQE/LOo1
czXn7iWDcWtNs/+gJPUFqpXxIAb7zqzCx9j1512TJ6/FQHc7FJzsDKTA+zbr76G4zAFuGEA1Y9Nj
Afz3lPRH44mez19X35ySutfm9Rfqh0XK8EP9TcQB0ljU+ctBiUPU95MS8jlSRVFTO47zn5iy7ycl
5//QIxB8gdr1x86TZS+YYB8vhnBN0km50D/oPJGY+vGY5OMhofME5BRtOi2tn49JRZULJgYegeLW
3G8rPRQ07d0nl+JJuurB7Jz7bL4JYdyatbExYd6qLroPFwguXnCL8ihb1/BxncsUVq41ZPfFAs81
FowuFM6vTkc2AWEjhwrSrh4x0mZr2dpGQwrnguMlUuaLtgB6jQ5Ur7VAe1nmwu0Mx3dIiJEMo+ai
HDBtpVb8UOBkLSf/acbtmlceM6ykfp7S7MaPrefGMR7HfjIDpxuXIakMpjiT66pOj0oxc7YJmn+Y
dO9L0lXJsSTtc2MMxHHqVXqfqfyLPrnzQRRYlgnsoqsw7+fa/NK3xZVPm3xy3Du/2WWEndW+RFGV
DvcqTp68RNsPunxoGy26cKnqfKZtRdlfGSl5x2Spj1NyJdTMogvCi9baN1l115we4bo7w5WfDNaK
efdByC2a11U8YZU276L61OAI77Kn2oxZ/Kp0R3tjEQL261zg4+1sIrWy1MSrKsKVtNsWxR+y5BCG
axpql04hh73smGeEidoMMsVRDtNIR30oqLCCPs/3tcy/NTgp153ZIuxq9F3jzHGAuPo8ef5eT9me
dDrju7jEE54Qm5CXXC/HymxHJK26zVd9npJ1q2NCYnwi8YCOTuivPOVe4lYFT+RfFZVYOympZHJK
QbDSQBHumtkeBCOBwzzX6cCUMQt8hGs8cAamYXkm6C26LRicpEM44NKRmBKfOIJiPjNLeKZzfoC7
1G3pCwQheUNU4tPN4EJTdA3cY7VFWikwJFGnt6XBmTnmm9Mq694moKwu8maD78S7rDXjkHvyxNDt
C3FQn+OWaVHtkXkzTOF6dhy2y1Shi2s4mNBxOPRTJ9d9nT2ohLbsjB4VjXZxA3jXCrJ+3BPHJ7eA
aZGfTM6wyuTBMsFSpS5Gf7J/ZFVdiybeZo6+AwOH1Z3zVNWTUjHl1l0KfxbY7rEzhpOcqUwIxLgI
2+4SONjBLNS8yvXqAEXsa9pGBz+Odo4w85XjtZ8Ye9M20O7xaB70Ul6oRrxKxzlkZJhqevmlbPN7
J6u5qfNwKazmaCl5Un3WrTB63+RFv4N8fykW6c087CtfHozFDTMJ2rrxRSTw+TeTdazy4Ti0+lmP
Rb5VUG7DqHscGKMywp05VnXXlQIJB4juovHNWzupjlnS78HLMGLNC3VIe/Na6M0pqlwc/D3pHhMg
8si8a2X7wJZ4DMf0pGJoXtF0W8LgRPwRP2Q5A84heYgyd2dHcl84iXeY7HLHSH/J++xOVuknAfUm
es3oQJV5U2g9OFi9DmLVHAiqfdTHIQ88Pc/XvqluodheKjIOV7OLTx27ySMt7r2r2Kunbm2OM8WZ
V56s3Pkye/5u0FBt+hzTkv6pJLWptfW3uY3oRyJgmNvwMaEIprSb0ZLdmqjlgtwbcnPrSZu1b7SQ
jYhi3jROfvQjdSn87DB2Cl6H4R/jOL4WfX4Mo2lY4eg+0bPDdu2Xi3zLW2lNDlzQ39XSv2rKjNM6
VM2i1o1NYhufE0NdjoZ4sDKNjK70jmGts7Y8+2tFAq1sIxQ4w9GItIdR768tw7jSsxFXhCs3zTQ8
mxplUFJFtClR9dR0DXFR29tSASZEHfWlosk0+ZS/XdLsM5nusrIa1q1jfCam4aJu+1Uc/z/2zqS5
caPr0n+lo/dwJGZg0RuS4CCKouahNgiNmOcZv76fVL1VVsl6y+0veumFI1x2SSRBIDPvvec8BxV0
o1ygHFCXmnFNKIkXRfNTnNpXM6LL09ysyp0ISA7J8oMiaWt+Rd7zbH5TS2tja/7C0AdzG7eWAXd2
1LYJJa2mBa8JJ0RmEFK0Y0+nqsqRWVWJKhSkqtqVSQMwDculNnK2twKxbbLuvhmiq4pSf+qCa79u
tgh9qPwG55YA0Q2f+RqG811bhUDpjfNE5t8K5CuxBeqQnGHTKI5DG1xHYm5WjtVvlRTKzIyWq7Eu
5lRFnuVyadSjwjiUYeV0gcniijx6Qv0QGhPlJ8XFKmBi3To0pJpYHlJXLfW6oYpuTQaNLP6Wvddy
GtoZQol1WFmAIiHG0Nrm6aRHARpoYdV8JIS4Ww6MGzvIXcI7TQeqSZ97sxJVC61n3Bv0SBf6Lnvq
EV0ZVh6v2WEAxzjQrkvSb0cANiZQbD9UotWYgikrerc/IYILjwcaprxuAAAZwJenHJlHXKsLNLqO
Z6bpXV8EGhW7VUN3cPI1YYS2sshiKyNzMDhFaV8ec/rj97Fqo68x51pBzz6YF80Akjp1ZjTEQ2o4
aCIgPSNaJzZsVpVTmEMnfRmda06yNsbYs7X5Fp76ZVDV+67S4CWh+NFSkMC5Wt376HYkdMCrVeJx
+2TcdOQkQgtun3p64mriPBi+fugHADh0SjPiCck+x3PdXEO/mFaOHT6yst4Kvd5CbDoKc3z1Y31P
mjfS4hA+QsSpv1H0+3I293aUHfwo1TkhZ8QiA14ooUZ0bNHMvIB21P4xptGRJsVl2yTRAiX7rgys
U3OMtmo9o8srd2Rdk/spklVkg9yzYv3CHbKrFmJhX0zTKsvza5qtOa2JZE/RuRNCOSD+WXIU2mhj
tWt9d6Mk4S6wq31QtneWoe/TXD2pdXZa3VknTvlMYezFSXAx+pwUJiAesx96+L2WZtW+ZqF7quT5
suGmG8duj5jsGUh+sGjcfFeI6LLWGKxoEVne9Lf0zNqGo7hqEjQ3bY4cc4I0MtmBN0P983viQSVd
r3MbyMzqNuu0e3yZKMTUcW1CRddR/XO0qIgJTytW9+Q+JScmgB6Odkbz3ISBYhekO6WMb0GRbpBX
nDMbJ92lVa+nAUtBXN4V9AGpnDXJco1e/LroUYcNHRJ5/WwwxZkf6KDMWzKv45KcTHsTu9HOjYS7
Rkay75P5tZzMs7YkQ571vT21NG6WoBhMOkt0uPAgqZ4/Wc6xUIuT3KCfkDKDDFtxkRrKadoC31MC
fd2gawNUHqqLuoHkEE7WgzmASHJZaQBejKfj6MCpGYq70ZwvSsV60LTYX5dRdS+wosFx7dZJ06fQ
KfjUjq9uXbn0oIVZkKgaboM6jZcYKg4lAuEkUOYjeeD7Ug1QuVhE8lV1RqU4IiCZqnxl8KcpYWzR
EwcajeUGyuuOngHRr213Otdy1zaN+1HmtMZITFb1CHSmmowzNYnOkiFZEtIc7uxwbk5Bv0syn07K
XhqcDLV/4TbpA5MtYysfdwsUJsAqdnMMsfqDE7ZXQOwv6CNGpy7yFkctd0EprrWAE01hCumlo5GB
JDdLTqtAbDrboNdvZm/YVgjA1TWKWec6aYuTiAo/oR3YM2DwGq29n9Tq0h3BqOelfRarAQD6eM0w
aCLJIL6tUvfBGPVLYBHF3tSRCHbQF9daazzMGeIL8g2leJceTM8vVip1XSBAWZW50W/jNIVkBhgt
XqJcE/oV4kmNMqKu6dY66WRotOJ0S/E0NfLnfx7MxNgUDQ3Ji2gEMCz/WkBpkRBoc/PoGJf4VPND
M49YEa8+lJXn371MH0Ejn2yx5ADIF7FUAxgig9zPzezEH2ska01EAPZOyQ+C2ZNiXLfD9e9fhkr0
gw5BZibyMjYSCUOYsuH1yXvtC+FSBQgO7trbUNwo+t/wUr74/XT+AS3iA+Byfb5WjTtZRWFl6TEf
uNG2js9k+2f1/cVl+ur34x7mCnGhJAbw1+8isGWD1qyyo0PdYZ6b/2E5/lf7s3Qf/2k0++v1+fRd
G1ai0r7n+hjZBkVzoq5re2XQb39N49XvP8oXL0UaqCXd0CaDdvfTV5E69AuHuUiOpLgCr2nFgjjn
wFiyDRMI+vvXkm/708f65Wuhd/FxVCLUKOttK02Ppb6k/2ZSd7Ur1tSpX//+hb76UB+//08fKrdj
F+bL9xeiK54jhQzX7CNyKy7/5l6Tb/rzh0JQIwgewa+OruDXD6WbuVaw8ebHRl/76WOP3N5//v3H
+ep2+/ASn2+3GfFAEWDSOubOY+w/GMr/4HaWcGQmptAdsF/++hHiCrGYoWj5MWYFpIGbTv+DxYsJ
mbCYF/PYWNL0+fGbz5Wc872lFsfZfhzss05OfNq/Wbu++tK5iRFRSU+5KuUnH1/DDbMyJ4s5O4ID
A0woJy7mRU+ONqMy/W/u5C9eC5O5BnnFJkSF/tOvrxX6Dqb12MyPoaypvUiSET28KAVnrMv3L//f
wbC01/5cdP8S6nT2WH4hN5I/87Pdqf2Bz589xAZNY7jynvrZ7tT+QJ2gsaypQgKSPsiNnD+Q5oEl
p0tKG/LdY/xjMOz8oZrkKiBSkibkf+j3IjyKe+DPhQG/l+ypsgphSmbWDGH413ukRvuOTkKbj2XZ
gEbjiLGoXVQqpTndqHG18aU/c0BS7pfdk+j8b5E1wh4fjX1j+imTKuXGJeBcmNPBnAGWmeAbieZr
GTJFRytK15PvnIs0QHmKsM6rQAMmo3sYdPO0yIqNE7jbLtYoKDB1OWQ/LOsAsWtrDVeWWXTrVldf
FSsnzsCFvNQbwcGWhjCFoICFU5nepDFsqBR4g9ilhDnYy1Jzbsk5OufgfzQxPy+6OieqWu/T28Sa
Nv6YkFJluhdpHFwFHA9zk1HXZEJZDdJC4P80XociiA/z3JWPecvrTGa/mZU6WOodlhyL47+SiDWm
FFo+KWa3ljN4C9GxPOlEkHhaOeSLTsPUn4QVeltz7VbpU9BFq3birZd9s+mqGmpbYcSbcWbwYotQ
JhFtazl1Clp3WRG8XhuputOmYq8L5MSqYqKxntylU4sSNxAdxaRgUDNYV5UaWQCq63ZJ55hP4dYG
VAdrlw+Mc4oZ5bTZmOmO9hxZ4Trc1rxdNq3/rQmc6xiv2C5S9K0x+a+cUnLyiEYQnVa2amjpYosh
CEoxwDqEPmGHSSau6YVi6xjNHTXcuDKC8hJ38xbuq70MTTCewdxUyyJqfHgoPYYuQdIDidBYdBAT
zGE0kXPEHA3f1nOtUqD1lYobVpm1S7ci3X02E8DdTrRR4LOvFKzemFKEm7DcEx6WWH6+s2SgGCJK
EtsVJ9mVpI2NNrFjvWHoC86m8abFqVFtaxLD/SsHM9+JaoUvgVKQQYSR6gRORLQkhWFXV8E17Vom
oq22NZSyXbL+e03YmV7vcODv82KfO/WhabK3YszrhTEP2OD7+7KhPcQA+rbTqpg629WXvV/e940j
PEK0Trt8PM0yIR1L8cXcOj0mczKhBvPAAJZHQrltB1Us8axtY43KxQqMo41LuwPuYEaM4iHwFgt8
2htUEqephYdRuO23ufSPvUhu3JEueGb6u0CrmEqjVlvGahV5dVw06yjMH12RHHAgLMc0CD3huoc8
dbctG/RysJWXyI9uCmUiN1MhVTrWxIselbd94qyUgKyLGkb1Y1+bWDCUB2KasA21zkEfGd6pk5Vc
WInxDdn2viEH3p6bPaU3We1MQqPZwE1lHsei0A55nRG2Rn+rtK29PmLJq6mgFS287AOBjy2aSGS6
ThTPmJx9GRFz1cdooMKoXualch31trpok/QCRLTCsLp+KJX2MrY6nwnzfB6aIIgxMqE381cZNilF
sbaz5EWDwQccW8M6ZFS7SEP3QFIV4NjkiMR32Rl86xokyB7n5ybJ5m+uhVkCud/SQmps4plOlThY
tn112g3zzi2jJyDBRIGo6srJBhccQnzVpuaTW0P87EaiWvLKvg2UNl+qmc9DjEtgoYct9ADWQrLX
UiSYuTZl3+l6/+64Ggfy3+y4r/3jy1d7Lj/1c8+VEl9oG9irOcahIP+w50LowCUNkNDQJSeD7fDH
iJEgRc1C48uBCT8oP/6nGMvl95nvQA1H44T4j4aMuv5rgfG+5VJOEgGPyooX/Dxk9LFG6Ah5p2OU
n+uTzdbh0+0eW/dmnBEhikmrFq6WnzpzeulMxtNUpgrGvxkFa4hXd4oasbBb96RJ3KMuqBZGxXoi
Q+iQdu7tLC1gQ/7WYfitFBynEQzBtMxKDJSWtmQEjgE6OwVtir7S713MrnSXRAVbl/KLIVxya0HN
WOtUpgsVUq3Gbr4oNPM+SbnNp/mJMCMGa9KPWnU3SdSe165xFtHn2cD6uiKJ+aYoxuDM79uTYuhL
zE7NXnVoU44kS2RjwWeeV7Gj447qdp0TrqnCfcjL+ToPlbuupCXHng4Z74yybz0bIaWRbfseQAQA
nEO3QuayrpwUnnPLTN9QXxAWHZtEtcg7qqarGdNN1PvkUJQNxiYsgWasR2zcyJ2DXIk9VzEfsjlB
rTH4NigHkZ7YReSuqkFtUMP5MkUpXjmDnC265sqdOJkM7rzQVfQj4JbpCZq3aDuI6AhQz9AY69i0
sYIXSMhGi8nkjToMtFbAu1ckrlWtIPnqXaI7ftfrhlK76xdM/SrkvPTXvQR5r5CWNqn37aTyl9i+
zSi1wO8hmD7yYEPqhCGZv5ZEY6ZSQQyb8tssNcVWw40TIjNukRtHoJwRH1dGimEZOfKELHms7Zg2
bL4lCkZBpYp2WbX7gyvVzAnDLGAld5NhnWRS75whfK5Us7oxMhDMmcEOL6XRww5nxGaMYx8dmo8u
LvK3gB2LZVDp+0kqrNHp2rtJmXBPIL9WetDeFoJsdOoEAiDKljogB8n27GLhEkVJCl+AbaxXWo4B
5SYC8YTqFUaM5q91JOCNgkG9rrvbmU58iki80LlmLPD3Avl47ic3kJUfgqw+H6W+fGwddGLzfVNj
XxIIehig2YhhMy9HnJ51NnczcvUedjhd9cd2ijwbOTu6qZWKvN2Khnbl64zGEql9T+v0mu3iJpSq
+LIzGt5asgfu75UzKsbWfqikkr7urEONtH4OjY3Q/TtVau7FBHMeEb6JGJ+gnbWNOB+e7XEsUetX
1qwh4ENdWCHlJ73vDJHyOslfEtRhHR09rxn8TRENYuGmhvSxTucRkSSO8PkvQ4dN1W7IbW/GJTSb
x8zHd2iKpF2KBkdaGkC76qdra+bQMBYpsaK1fZ3nAWY48TA74SF1xwtdIzZRJHhBK/fFz8Q2cx1u
I7vaMUfhBvQlznv0/FgjbtUoeaDUa27je7vFDaP6xVkbwYR29Rd3nmovVobzwmfkkzWqsUR7Za9C
PzcXqRUy/m6Zp5jJmJ5PiXuZJKwrtKKrnd+HwiMWc1jnlvs0+u1jklbnvlojmLRNf9UMAuniVLkc
a8x9if/7fNadDXE5IXybvoqvylx99iedxK5kvpmL4lSfgyeVKUGXdtMWdpnitYkGECLA0V2GzRrq
QL52k/a1KO3Z6+wQKFlSSkp+xcbeulwBGAasRfg9faM+nVV732rqSdSpuzBsL2smTZgH9Z01G2dk
Te+LjE8ZJdWqbEPB9EcxVnAUV3GY4bu3je9dsH+3fLlD//ct/1g/5sEr2/t7mvKf2cnyp35s+eiv
DSmlRrnnGOo7eetHma1SMUuSKru7Q9flo6tH/wPdkIWdDSQcmp9fIX2w+yz+4deaVOfaPxEWoRz6
VGZTrlOwo3gSiN101fnU9qksgoMGW/igkfBo6HOaEFHbuf5eAaewz+0GZIEipu6bEYcnkT894A4m
UB4MnN7Dg1MGStst0mxgGZUu4p0oK3Ll4oijKort4jaoJVaO6BgQc+hHqJDfwXNDCYPOSP3ote2E
T1StxNOZJNORHwVhivVxDZgkrrw2bTQXf4HRr6s6JjsBMa9LAYKu0u9cTglRaRH3YY4yhqV+U5xg
5JlGzGhGPpNvjUXEwQVqScmsolPukVvBrG0iqy+s4cIzKi7ngp6BoLAeLlR9Pg17V5JGT40i3alB
uBsZRyxNqyZLhGp3WTR9t9IaIzwt8XuLUjmPeeYvS9/Zt2XIZhZwDAkYhZzmTVEvNWVIvMnC2lIT
h7iyq+44ts1RSbDXDmg28N5weiiKwQuRr2O+sVrymiJ9qt8Svb2KUnFFHyczGdG0+blSJfNBN5Cn
4qgKSiu8LyJ24tZZ+o2fQVBPiXcpCBFuCL7SSuaEWuEwHuw4LejZlWKZw7p02B3silCEmlIIHSzO
WXJywE6NC3+2rZWm5uGxDwa20xIcgo7Gux2V4tIaGMpacPLFVMO36fBAa7RPIuWgzvoaZCIsqa40
bhqXYHv2PcayqbOmxxItOOjhQpprOGV2+WD6Hb0UVaE/sci1oFk2Ezq0D4/i+fdO0cdZzF8ayzxw
dOQtegIcuOll/do/ikU4iMQlQVkTYbnW00F7DCeu0zAlNLTfX+vf9U+24//7+neePj6/1l+sf/zU
j/Xv3dWIuvY/yknZ5vux/qGqZGxCvWMxynpvGH4oeXSw7NKw4tKLFjJT7M82o63SaMSCCLmdRNl/
5GrEAPtp/aPNaEqqvWQSapLU/ettQlo7jQTDHo4tMWawFJK7op8u7aLvvdQNjrgJ42cesRz4i36N
IJnDs67QvLGHNyUUa7SfBnJiBXGBg/csT9GA2Ig98O891QFdpzG1ayQg+aXhpgGFSOFvht4/OBla
8LC0n6ApXVn9fBfS4EFXgQhaK2EVFGG2TezyRJfNz8yW6mo3X8+pdsVrrYYWrESN9BgB96QSioL6
DVTooU1AL1gqlX8SvMSNczAYJQtjPIZElBc2h0MOYBdaKMTacHT8C4Y0oqEzYjJjLWyN6DySH+Q5
iZjXaqlXHQu6wdx/KNWtShDWmlD3hjSL1vE6KHSenvgbC0fFotAzFs3SuIYUtegnd9Xputch319U
NaD4KJt2s0rWXZuH+CHFfGu6L1nhr2ptlE2sE7tv7zsxR8syJnKJ/G/sZBP1ndV3iFfG6bUXxa5X
bWJuFcKbRHgbqCzykK8QcaFsYBpPkSWbVjaBVPaZbLsFRX1bKOYTqtI9NDlkG/PKIhipatRd5ycX
GvxYGfR+6XCF/MiGgVrU6yFNz2rDvbQi8ZSMM8m/wuWYKFSppBxuMs14iJlbsraSf9jnxrrsVHj4
o71XY+dakUAcaxa3UR+nZAPH+1n3sa3WZwj/9kGdAMtL01dcid/GXrkudZRh4XjZutZaWMp9p8TP
mD2oMs0JNlBJ+uwstUtaU73Z0IlERzpwJa2OaXI6xDaaBJxGxhuaK8/X+DgSolvaRbPSjOiqQJwL
2IYWXWBv5tg2F3VefNNzC+pCMy3zaXw0uoH7S0VzmMnM+r4tTtU+ffG5I91az1aGRnZPap101rQt
rPalVwzY66F+bdIUDFj6sWdV56oYAJkgrVzR0gphl0zxSgk7zK66I81JyW3ccpFmityFSdmyMDLt
srVKzy0z4nyy2vXAQIGrIr7kTOuK27F5SKudzjP3kNEpLyQyMwzYUebWwHExhRfTULs7P0HHCN9p
3EBdBIDYgQ3qKjXGKBRy/FXKN3rFrYsaqmo5mod+PHktNI75pn+vic1+dKhWAz8xrnJfp8JEZ3Ib
wdzyDGpq4ZrkNFJlj7lBuS3rbgfIhZ27G0xIlOTEYK9IF0lPUGrYXkaADUIq/aHozZhEDh63NOSW
zgdcwSGNRkhF+lKJslXguOOVU9IBKNAVjuH8IvdeMtacVUQPQdBL6JKMY8GI+Dm3nHCFoQYVhn02
GuQr04mYhXMX0ZkIHdOHY4fysm13IF8WNaqqlF4GeLJ1KevXmS4HaCEOXvQ9jDAPzlI6IYlhXXF1
1Q2worMmpk6lZ+LSO6l1KGaBPzw1lnFbFPp9JmzAnvRb4lSnLVDNs1R53pqhdLXNdC4Rs50NsmGT
y9ZNEqawtOYN/1XD/QMUvGpNWqQ0fLQKeruevE10gsrYvi2rCJKU8VQ3pNeIDKc4vSOrK8TCqEJ9
odP2QEtDs1j46pMY40uH3hNfHk2oGERkm9g3wGsGnhC9XZqDE3pIeVaWrHVocYFAoPwpWh6miUfP
pjBqQm3XyEopomTC2UbbQD0BgrcHSnpKViD5ObLKSgcQJwTPugs9ygAr2SBHjUydPZ8CTQnndl24
VbxugTbh3hNnuaznIAtNW40Sbw78R2XKTkNKP0XWgOo4PSuyKpyguy7rAeVuA3wom/DB2EH1PKBU
QEDK9ISi7SZyrH1Yls/RTP+NhLEMOFG9VXLthjC1bOmXfBup7a9pa4iV43O8soadnUFc862OFFN2
h7LF2DLQ8c5S7jU0lxzbUhEo9UktpMuZA1nuUY40JFW1jftNy5rWPvx7IqKGw/zBOfJ3J6Iue2z+
eiKSP/XxREQkJh6O9/PLL5RNTkQYTYC2k03zjiv5cSIyBGhO2M00ZU39P3XkjxMR/WFgxbRtNZLO
3l0o/8Bqgqnl84kIx4pGScqJiLQ07Ca/noiMMMgBk0zq0cRGlWxBzmp0RKvkEOMLN+bmwgnnO6oN
nuc23QyBe6dEYQNKHEsXsyTXT+ntssTUVEOeXtQXVl+QZSv2nY/gEn+6jk997rZmrDwUWNf9gFUs
OKrS0854DsKZyfnBVhFoJQ3yfGuaX+h3oquTfCUCBx9sA56Poyvt2hjah7nItsO7mx5bPZ0y3auk
0x7Z0X6W3nvApQeDAoEHOb3NlW4iHFO8Rhj2h1l7caSDv5Befo4iV5l09yNufhgm5a6esfCPc0VP
2HKI0XPPcmua9oqRXFI1y+hAuAEjAAGqEP6i37xR1xj8RTKlexWeAdSBWItgZUgSQSaZBDhgn0Vy
T98sbCwwy/CvYR+ySRMO5NttvWIJhW1gvnMO8lBnjlSCZkHdLEkI6jsVIRphYhOGDH1Ahrbjn65o
4iqAxQwi3Smm6dS/x7xrTrqm35fgbuhrMpkhIOEwHtoLbBwkZc9pfdEXBMd3JVk0rCtcKknVbGTA
fCij5jMZOp9V1n0x1xpHCxjHhoymL4om8Vq5xY4yuN6XEfagCqYLHFIGbEMC7mOS7kMZee8ii1yw
v0YHH1j+anC75iQkSWwz1pTgaBrBnFXwc/Bo6v5GTbo3zS2cTRWCIKwSP9iqlvLUt3x9GgGNHh5K
LM0V1WOE+2cLmeHVVQoTDMcweHgV6Mq6xi4VcMgKM07PHZ3Bt9rkYG0UuqquCorDSHUS2frG3GAz
f81G1d3g1oWyUyvpObTU4IQrx/bhD/mjU+A80KZIbH1BVEsjMCjmGj0RXW2TeqXagOMySD5P5USW
VNHQFm5MRm+to9T7wS6GfTB09cYNcUaRhahvSozWHl8elNnGfIsQFS2MKSQX0NA30rgeLsSc4Q1y
S85RjmM8iYzmPUdvhp0ZvlJ6ynABS6P3OCypUFT93CIFG2M0z1xwUjM03Q5zkrdeSGSg8EbdGZlg
Mj98S3GAbx3gRhcFB74VJtRmD45W4DPhRFGL8TpV1ACrT2ouctAU2KKq20lxg6WY/Rb43VAwgiaO
vW8elKC6S4uc45Hj0rnIaMn2GXCRWEAxs6f4Vs2L87hqom+Ti3ZeC4MQxb+DqbhEFzt3F4AxHTiN
kIzI3612bme9hmn/jWbQegiccDm6ytsQt9IjHT3oSnyCnep+tOCIYee0lmlWy0XEPXApdl3ivhU8
p4rsKrSZcy0c87xSCSlQTXuR18WZLYxnzXLv+lQhgKEewYPVzs6p620xN1fN7N5UpFB4ouU8U3U1
+PUpWjCNnja6xrwkzjnsOATdDfQqaie8DERtLuyAJPcOGtneFPMj4wcYKbm2jYrwJLH9o6MPB2XU
q9VEVcqTgiUWhjFHmiglrBErzFPsMBSxkjbeBnqPXN3odOTIrnFiEYy1MKyiwYOdPbmNyZoluhwh
cHVeDMoVoxzpqE2ikwCvA830AKA7ERK8JU58k0IAJodLC5DxEFxkyDAZcOD/6OTDMwsAa6iT421b
mqEX+5G7gdgaXaZBXa4cDb8IK0y3aWKLgsgc3U1pqJM3xxRu0BNSVhh72ozASD0faC86+szw3DnG
Il2bbzTWZqiS8w5jyJFhxT7T41PygTIP/oq20Qd80roo/XVCsvA6tE2xSX2fqE+o6FvNGs1VzAQo
CtMZ1XqkbTR9ZKmPebdhxlOrDQzSYUgGcPbSFHI5q5SomPANOZ/UrHtTZrUHiy5WrY0SM4CKM4ra
KmgDoFeoO1imun+bP9+RVjKg6r8fda4en8nApfVdfHHc4Sd/HndgV8nTBDARji7vUTQfGkCORW/o
x//hp37MvAGQ6Ba7MpszejMTePiHBpDgGKTCoXIkcJxU8X9w3AFo8vm4Y3Pgku8OEArd9M9RRnrc
59Qf43AcUwfhCzPwNXL72CtjOdMcW2Z9ScNzaRr9wxBn+7LhkbCEY1OlRGBsp6BZ+bmjkiFueaiW
KKen3F5aIlL2op0fTV+bz9yufR2sqiHYGM5FmfpXeqdYh7xn25l6veJx7aszVOVeHIS3LfEDg8hJ
k3Wdk6zVTqCTvCXjdDuEdEqM5FiluH5UbetGNIbcmL0hyvQSS4yKV27S0xXz2YYeNL0TOnOvsW3c
DJbyLemV16GXebA+bI5xYByaF9lLleG6TYRy1go624Q0YIFPkIr1rvUk+bJUU/jGUlo0NLLaaAXe
5zbMigvNCjyrwC1rTzAeq67tvaDedMEhiHZWqV9WjYU3z3+dpdkwP7dUbGnEM5zlNDvmMb7LKmIM
NP85zM3r3gTSLuK3KZAzvVS7cMgtx6DKDtYHDaKgFqVoB7+6S8N0PbbAXCqXtbW2pqsMXz/kycHY
onKKl3oaYhzNO1onhTEvs4h5ReODgmFZbFZGG2yTkJlppugboiXiSyyeGmk+zKTjieaGGoGUNQvy
q+tKeoiQCiwTHBYnKO0ui2bEP4G2fIPAZkdTKFrVehth64rNbee7U3KbB4odHLRmzu4AaTCrSGnV
c/n6eTnqHGf7MeKkYjpvDZaTMeyPYVvj7Xqvwdr3eqwmDPYFToWtQKRAHhUZqr82MfQdbRGNS3Yr
HDzalK9LYygO2axFN2jJbmsC6Le65X5LojFjky6j42DE2kopO+Yrk3Pt5sNOz4i8rf0OtwriuFpV
b5SO5bdjduiN0Is3gJaDy8zIqoXdIGlucuQHgmupN/1hxPV8zR2AltGwoZVV6XgOCrnxnG4or4Oq
f2oQMe/tROsZ6YevpcppYTYmgVFSPVNIQEF9ifUGELpKqd1227rz662G4/KqsqqUHHI7v040zJ2l
GoXo5srrwmlXbWvRZ+pm8qwjcztaNKo6H6xZjD920RYTjkDXXyoAyJcZMBfPjPBTopdG0Bb51kk7
icfRL5dVONwiWylRGoppwZ4ZrwLD5dQ7GsoOgjv0s3iAtTVX/ipy2nwD4CZ5Thh/bFPsgYsZ2loy
hOO2Rzjn1a07G6sa5dvCMiHrD7rqn4b4ag5OP501tK4ZkiOaR8HBk5n19ZrI63HVanlzUJwZnrIK
Azwxx9n7t/T+XnozBfjdfpT/rzUD2eeoef5qS+KHf25JGlorpOfYZ2xw7lLf/HNL0v9A80ztKyes
lNvsOz+2JPsPVwMzCkn050/9qMDJUIKHCOUafsQ/ZmL9dUNiAG/AjJBER6StvPGPQnwzBeEe+/V8
nNu7yvEX8r7/cGG+GI3J3/CntNoxBb9VOHjnYUlqvIR8Bx+YW9yyVjmWunpsRoWG4dpMI6qWl77f
/v51fv0kf32dTxJussBL9MQmnQRJL61PB/vl9y+AwO33n0Qq2j58koBKUOtCPok22oveuLEpBHjm
XIVoud6jxbJs+oey23bReQtrS41e4xBT4rlWXLQ5KmvUMtXeMgPkt4wCjIsuvhpASo9u9jeXQor0
fnvNubE+vlM9Unw6xfJa6J4v9VXlXddT/KjGcaB17RPhFE1vNviYin91rGj5+0slT0x/eQMMukxL
8PWbjER/fQM5c/u2F/Z0JEwhUpnI1+lpgtSfeqE0qnLponTH+u/AEBsb8iSGS5VGKBUNTPVeKPOy
RjPGcKoTeHgDcTKwftebNLvXMv1k8AVnJE2J1ZtRz+KNnrgApHynXeRxjKO+3pX0XfBEr9V2WqFz
2oTzsbciLwvoIlfKAmjUBoPkeaad4/2DpnbfMP0JmmvE4AedEPQ6sVY9g1sg+jvdNBGfcfyPy1VC
6nhJNWtRE8xVzUVUlx1+e1tk3lDCib5vYo4fhBdXQ75XW+OCJKl4zDY9xqObDHB+qc+6V7jXrWGt
CMUio5cCwowCA8tY5ayEQ31TJOkDY/lFljHCdk2/WSWBcfr7b0j2BD98Q1J++cuDb3x6XIaIaXU7
NvNRbPStv5tP2zt9g7P92CzU03ZbLWsPRtVyWuvLk/qE/KjV+KDsknW7ERvrEK3j7z3c/2qj+1UO
+tfH95NLx0jTzs7kLVskuyKhvb8ibQKFo/ib5eirO/PjcvRpwXOibE7DkNchDya9Hl+qYEnkIi0z
y/+bh0D99RJ//0gfH4JP016X76PWXTJwQn0Zn0NZ6OjIY4VuvNhdBkeEbb//Tr9aAVH/IHYlXw84
9aevNKPdaduprh0HJOT5/NQr579/ga8WwI8v8OnaUSTYBMpq2rHpV7I9OijLZvy7aPu/e5FPq6w7
utY8MT4/uv1+rk5a61qzvv3+c3y1JX38HJ+Wx4m9GjGKqR0BWTIzp4VpXbrxmYtk/f2F/n9LNQ7R
c100xVv7jiB9LsqpjoKw/U4k/fnH5iehVBqwfvmD964Ju+he6+nytSHD5EeRKv/m/+v//I+y7Hoq
X//P/358Ifd8FTVtHT23bC+fVWfSIfX749Eqeg2+Ohrxgz+ORqr1h3BU+mPfLVxyG/u/7J3HbiRH
m7Vv5cO/TyFNRJrFvylvWFX0bpMgu8n03kXm1c+TLfWnlhkNhJlZDKClAJHFrqqMeM05z/leGqFk
4ws82zQlm4Fv4vXvpZH1E6cX8E76aKzJMK9+7dbNn9hXkAxGDpxDdLj8W7jQP5OrCR4nF+066xCD
sd1vbzEyBsImBJRxwpTLrE4SghhAPrdlQkhANpQIyfvJYdANDMcEopKP012HziBg8XllgfZ8S8J8
abVYTPTqNXZSw7hGXY0/LO7Rfi6aPvcuWdFOh8Dq0mhftaN5D19Vk3uj0Wtt4Xlae8l8yz8ko623
a5OISeMuchDEHqdgSpsvXh7Yw6m2ylrezGjd3s7TD2ShrBnyqEtxeiDX2OoxjhqvmpNT22ps9yI1
CUyaJtaGa3/W203CQVDrVKF+NGc9Xl1VnFE5jK11qDwug6pu150+RkfSWsSV709lt4g933vrGiiO
TCd81rCOAB6D4Km7Dk35hs/2FezFl9hGeoydFWC0LT/KNvuADG3Q3meV+AoRCgQPkI8qGPb5pMtN
m2gdUdiBvehNnZnHkHQGXqyBYStKkCdDo8PxksH/oiK73zVWbu5DQteutMRExWLUyDGqTpGCW1Zb
PH3FsqaDIhUjZ5bsMudm3Ii4AlUMH265shFpNUPjr9w2O7qdR7y8XzunUcppnwgGJpEJSEF44ZaY
GIJSAmjJ1ujGCPNQpDl5sipd78MVoUau17RLDcwIaA63o49IQWuyhH0/TMhGqGcRCn+VDFO/cGy5
LYw5rYjolDash3NiKYTLIR2sl0q1qnHOIicuzQtWuuQO3aN1m9t2/hHrgsu4ivInCJfs+KPqa06J
dfxfOba2H8WZoVzzf+jU+kuF2d1b/q/TG7LnPznufhSZ4WUlrR2NmfMtC/vHho4DyGSnIQmBYNKo
U8R8P7Wcn2AnmI5Lo4WLhlPt11PLmbtAamT5P9TQEczkovOdAcfmt2TDH5qUphu6KrPHgai46zoQ
6xHdzg9H+fUftY78pT9UjnNZgxXX5gyeZ6ko5n53e7IVSazO6boLGU2HyHnU9IsH6UfsDP966M/Y
U/769czfyYb/+IrzX/TDv2kmOkVMkDpwGp22cMfZZzI2Bfj3Iiiam6Eu3EPf4r+zEwQqjb2xY9aU
la98iQKndZhz5varoj/d2xZkspE9zspoCmQfbnglCza1rpksy1pHcpR8ekp7nuPmCzjSjOQY08VB
PSuYWFVZZsg0JoXlnAVRAMbM3jZjGm0kUQZIZKNi648qX0aIURZOzYqFMw2OjBnxEENh7aJbt++P
ZJEUCycik6zy+ZRi6E8+2qUK54UY8TbZw42PqXbh40ktCuO6R6FiuphZ9S4Ccx8cC1RinaU91OzQ
YJi+9pMFvDTc9c7UrA1golHL6rF0D2Ek1SK0iwF8Ud3gYx5PBYkdd06re1BT5djkdwXrqJ1NVxYD
rSIJKdTam+lbm9ZlhNhcUrqPFuUKybSTJIi4JSyvs6r3RHevbG4fQGZXpRPtVcJN5PmwyZLzONlP
jBPZHjLrglVkbWoz+kIOy9eUDep6kOKkSnFARrbqk/Kq9Yc1yrk9XORrHTFg7lerSI1XTI2vOrcu
Vu2U6ctADsem158qLNRCFPPOeHoAtU0oTzYm56jLr/OkxT7KgTolB52c54UqbQZfLXvqSpGjhMIc
xQ8YgCZ2HrhvYchrhJ2ZWYkLqxtaFkQmogMcVFcpQNwNQPxjmn31tOEiQve26XBxGNQEYM7qjQER
yk+j6y7X7oYefZTGxwIfd+1G3sLJ2q9OyF1j2PGNCbXK6zLiPZUBbW7u/cabtitCHBmMLwexHep+
o3NBtDaiTkNfFUVxN+XiOvPJGxgUi7I2TfpbNYa3JNjv0WOu3NJ9JrNlqRxZQ7jS6DKi+jNHaonp
g+0XfJ6JvhbuCmys/kMfgmMOC64SBuQhx4MfCGvTsqI1uGHcLME1ab0nIUmPkhmmK7lOnXzZKf/Y
NMWO7DPgwu2Mdjtjol+Zg7bnoLgZ3aCFYKk3C4u0Bsbkj6Ju0JaCQqkS4nhzmY67BCD6vk4ZIkcQ
8qxROyTNdN+UAwuJtD1HdXEX9+zxY0CPHdNzSHvmm9fFb7HjngpC3YhHw6Q+NOQd+M3AwNnv3d0/
l97Pk0w6qL8u1Q/FW9VF+Z9ce/zo92IdbTU1MJnisBp+5y1BWy252NhrQbQl05fz+fu15/5k8UeY
YP0h/LCRowf+dY4pXFIiv/0yVnZ/z076jeLx65iR24h5qMelzGINvAOT09/eEQ6BR0qJsb6MGt4A
9H+w5JEm526MUz7ML5FgahE64dmW9Rb5srwhGIIsmUC/tXxxm9TdR4GdZKFUCJKyP4aOsekRzCbE
kms9ELvcuHJzYzWZSOV6ofCjWld6Cnjd6rKzKdyNHzhEP2qbYtRuWEg8OGP+JCnrXL+iQHThKJIX
POb7BIx6SN4SW2VrL93wEe4iUSf6zZik5w50KmzKs5oXYJ6trkDObmVtALUNHiSUP41/0Tqth3cv
ak8+uom2tl6tgMq/bQ+5b29ayzv2ojr7YXj2CuQYE+mWYXnugIVZRXWCqPhE8s4uBP3osfbSkuIS
G/GZAeq671jANNMq1PsXL2quw7A7BcO47BHJCBhswC/Ptcn63/tsam/OoR/IW+s6stncN1IdiRMQ
TzzFe63xVr1sgFZPbMbjVVZOC7us78aGMEVfRZdAOkjOoarG9oNsst00NreZ277npmJ3k59Dv7rq
7Wwnp+6Q1eOuq8AtBOWnE5dA7CFs+t7eCsStEzp4erVy1zo5Qod0OCUdaEJjrI6MNt+sQtx6pb0M
MRMR6+hcOq29CsxsNQX9vp4A4znabeypvaH7j2JOP/estZ1HxoJ8UiSYKDFCX6+WTladIjcdUKNW
wFHHzl+R3/bm9DBky0pt3VKyJlPlk2nSYmSDes8ZuAe4Nun81s3oDTRajVvHu5gI9n1bgAG4iGki
5jwG1Wht+5oNrGcMfPrzrm9e+hVVR+CJW94mRVsecrvul828JDRSwzoBnetX/UgibKqwk9IGmpg2
p/jWNMxtYnIcg9rcxTleXqAh7pp/0rTMzWlaGvOyMi4JOGjnBWY3rzLh+UognuNdJMZqhQMQb44F
ln6al6BMPNFjBc0DcA1C3G1mqzE708gdgfXEn8O8TPU0815ju1q41oqt12Uy5Uawfa2ahNxPlpq4
rz4AI5xQVzxpAz93qucVLv8vy1zSbRYW+91o3vMWpA7Mi18IIVws8zIYTylgzlK8BxCSF/q8Mi6b
qls1wuPqgNjqkEfjaez6eoFqleDsapWY7kdQeq/5aD5IttL8/eikCr0h0J6VtVWyhUbkUa5kHoN5
SZiK99gOSnbdlhtdenbfcA4ehRo/O0c/xOzGYePD/degmbI1jyZ4hllanWn0qk02r9bNeclesG3P
yzAAQJI0azPsrVUnyMYcjPx5iCfe5Sr7qhWzTF4NM00zyDdxova+lm5jHWIt6ZGIDAFbQCK8RLrz
jsTkXQnYSLXK+N46NmvXXvKTKfQPZgRmBVS2RMJSWebWL8znFmbogmMK6wFUk6BrmHdHz2OA+9vT
xJfIr7KVjcIRmcC7RnBlY+KZU74Ostt/slisLkfYJpPZIVCAWol2wMSqUncLwnXuwwGdvh6PI8EA
fO7K958tBHALv/Qdvl/WBhQOkmlv4BGNEoI+Cx7LmgQ6/jzrM9OxTvd+MNvEmZ6TL4rOrNqDh7X5
2/oD9taLytAujVOHBMraDyGR1W3/mOv6oR1ccMcaNrwIyf+i09VVEup3Q9AeZR7eG6MDzj8GV1zH
xI+LwVrZSruKgIks8jF5qEOB1icrnRWh7WQghGFCeuXQBOFSK/w5z7rVSaLow71gx448jChW3dW2
0KzpGHISVPImKzaqI8sxGRm2kGrnGCq9iQpWK//UIj/XIjSLf12LXHVR86/Le9SUf9aG8+Pf6xEC
hdAOw6PwMNwhzWE49314SD1i0ZpTeXi6NUubf61HIOV7/AwpGpbL4PHH4aH4CYQ+P0al8svI8fsU
9ZemmAHsf7rOmEeDvy1HwOczvxQmvw/b7e9m/zUxww1tdHCBsbkgjysSv9gA//NXsOff8etrzORB
10KzhOuQ5gvn7u8a8cwodK9MR3UGgr1n6uZtFAzSeuNk6qQs5IuYR8Zmy/cXxivtH3KT1pV3JpaO
gnmXZ5+c2vGafR741amrNZf4us6yq5Nta7paiwZAPiB8A5M4LvR1UQ56iZwly9ZANPWtUhVrNMDA
68GwjS3PFzddMbCPsyHF5L19HTt5sCVzUl91BWKdCK4OMNC6iLVtngEyvMvrKfzMYEJsrJ8xnC6a
17X3M57TS/mvtVHihliHYmZ44tqB58l9W920iPwInZwIICEhWFPhs1Uax1CFUIzIm18Q2Lu3+moL
w/Bq6Gxj4bTauQv7R5lY95XX3NXAlUnSebRllrMBrUjPi8RVRWJuIKorINa4cYME5jnEqkDZx2FO
lNczd9EHBRgH8th17oypGA+11F/KOAbwnTqw8YvqUpOqtOOeJ8hefw/tZMRkgRVM+GIiDttAe1qk
q9Hz1mNB7hrgLLz7glCeVim5RQ4/HauxPPa+tlVZsmsJQtpmqaxXkTUBlirBh0WnjJng2reA4lPc
baep3vt1dBuSjLSNc5mvAi2hwGENHWBAyxtVr+swuyvq9hhaiBS1Ube/jH3CfVgHwxJR3UaVfFWV
EdFaEwdFEbbCY7RXZXUaBDEMBmFrNNIuU1SXnKIglndSjMXCUgL6OZHtJCF5KM99wSRzbE+V3ZNm
7oFaR0xGHq/+IezuK95ilzwSOztaXqaR2JvI6KbM3WxFcFUkaVThrTiGdvCYdG+RWH0hHHs/2ejF
DOehZcxKnJzNDKimOnNJoTaugGzc9DlEA+RHZMesZyxsZgMSA7e+dQlnWVUWb7zMnV2j90/GTIQo
ZTC7x14nuz8VOijsqFYHxBDXE7+0N/JTBgdiEgZyde3NbKCvaWqPwOvK8rWd5zwq/7VwpwPMZ3cj
42BdO/KBWG0Y4Oq9p5rpWrc9CoC40hyvAz82lpaZIJFNvJc0MF8snKarejCuPEF83iAupKeOmQiX
4cTISE7Vhkiwe1c1DyLpgaGxO5RhcC16EruQ4CPQ7ckEYFNKT4ZRvDceSy28d93sQSsLnG/DZq6V
TUcdKk87KKWj/o/tAzP9bWqTCo4Ye2UVRrcXnWhvxRCTjKSOMtZfue3xPlhoNMizCDemVcZnYGjJ
TmmZ+VIMrvPcuAV0KjWO/kPW+smt8p2Gtik10Ov7NTyUNlxV2sxSTxHChi2g/8rUyEPksbjqSxmd
OzERz5DWvd8su9KenzC004RFenNJWPnu+0R+5yqU9qNGdbLuG5t2pgR+k5bMQYTX8GUmp74nous4
unDNA1PetjqTNnxc1SroS3dhGPERyvZdViZA9IcCO2rZABjxxLNtE6xg9+RDY2ByFNHULp3NyS9D
3uyJmz6xi3cR4KK3cf/xyHl8RvJeD8qE93FMtsEYXMWYtAj48W8gG793ylvGmDPcGGqRr+l3IEle
LKt8JY8Mv3286+P206mHSyoRHAR+SME7pC9m3G1A77/SMi46tyF8y2DJ4A8Y2domRwIN577x5Woc
IxxxzDEr82tmt4qeA+1y3r/02BikaMmdiMg6bfGH1nzMyQB80Hky8uZRdjShRgGBS8V3Kh2vcm/Y
tRVTQ22In4Jw3EcDj6hSp97PtkGGMkVP7du2nS6IAF9UKM8FTlpX9E/DVANOguLsEArTC7obpQOh
FR6mweSV7HSMqbG9RdWAVSOlVW3daB80ihUSSUPLWNp3OPd5B1ODrUju3EP9ObQWkUxNpL9wE9Cx
sfnX4EFRELa7Ig6eJNHbC0uvdzKz1hw3qO4VyQ7867PQuSJShMSz4GC08sUjQdvH2le6yQUx7y4h
Yr2BUrDIzORNc7WVHKJdR9bFour8N71NDrzXq2hSwF9M7yC68aYhenwZi+YQ6xrzLvvV10viPZig
tf2dT0IJWbrTBkVuscii8Bqr86evY3cbCenQRcyIdopOnky3lV/dZzlj0iQvdn3QVzvXy+bEgjkH
zSRlInq1/YJkLBoD4kLbTZ7pxqIQYrjWTQzVLnEh68Stn3MCrjaa7l507BCoY6pqxs3BZQtVtsEH
9CVizoZkMtCeh5LBYcyUfD2ieGcYF6VfFerJlWllIclRo3kawsb//KE++6Xs+UvugecJi3klVQjy
aFz0v526GIk0siz3tXMcE1fwmHjvQm7/ey/xuyXsyLfYTlBgnvU5bY4Ovryo+L8QNvxOEDAzrvln
2DONDM6otH73zzAxtgO1i4KLPnDLO4jhwLvfa9rf25x8exkQqCZCJ5TojMt++24FRTxaTtIHl47k
j4q+syHiQKseOsHihLSFhsZH/hP//rNhQFAO/2Ur0b79a5m+/WkQNj/6vY2gV6B/MHDNScabM+Hh
1zYC5SZYcgQAkv3/b8i0cHZcYc8qTPHNWMkn+X2sadNG0HSAf2f8jcrkbzkGwE/8psj/NtdEIKpj
PZAkzoNK/u13xjECI01rWVxMFyYMzu2ZXje33xgCERMHxn7wk01qjfs8y01iRfPwJfOcAxXCxiVR
vUgxJHXVPpbaZdJwHTHlIrHBKa7SyGHyF9WPoy6eXa/E4dtQWrhau+7H5P7ngIt2YjgSoMcqYudG
BaClFvUUl/qa0ASY/66kMTCUfgZp2q8YNfbb0A9Bh0l2LbneEsVjeNh5aqL+AuILSBCb/ILiQpfF
rrOHbEVwMmlYwD/HEe8TPmG5ChWRon2vP/Qkbju46AezbZhKCTKodYYDspZfiLUKl2XG7608SBGY
jb5NVNA25vEXDyvDevRJBOwybtp0pILMhb9PSxYezInXRQ4rl+zm9CilNlwRwOXNHux8Ker4gT0/
t1DaGoi14gtmgKWcDVrDJDat3d3TdeAIS6qHubsrK2NYWBYBSgorvVX58yQk71a5lpbUDEwOvdla
kFTdqSxj2L1jkW6mXkMWLw8yN8nf7JEezZrMATXgNBg7x4KlOibR154xX5BP58nMesZ0UF27uH5O
W23pd8WMDi2vutAFKwvXZBkQe6pNTJuLBEVnU3AblW1srVLTJs7avkn8MaTkaIaVOQXrSmTuZtCK
L5UJb4NpIew17JaVti30DGRrdGHberQsbvxMNMeq5zvjd811FdntwiWtY6lTe60FN2FDAdvE3bYi
xtuRIfNor9CWFUlriDHyVVJq2zrWUL8VzWlCQMOnR/XYufYtt8qJ/nXOHerVUmTCWZqkCTGknkD4
iBaZXKIDOB8o6YPmXoF73fRxfgqE/zpW/bhJNXcb0GWvZKs/igqFjVU5MOoJ2a5ae+VGwU1AjW2o
edyrmEV6X2t7KGlrGt7Dxt4HFYNeVgFXbddcoqKptJuicNLpY1RpsnMYt3lJ+YgvtMJnC+l1HmDm
XVIe4tZ7KRL9lsC1r245Io+BTjQFG9bMq7IZDl5L/rpuHos0PEdFcVBxc86L9LrPKYvBGuOI8Lth
b/vyk9amY8E8WGIbdb6DlijvpzvTnk5BxcLWSKNhgxGBOGHL5nXFlhHldpjXvED/MF9a17V8aeY1
cNZ5DzkLSJDOx9qs2Sm3kgGatQjK6bqbTKa8zNtG2d1w2DGTI9QKpiv1FsQknz20RawYjDAaYXqX
gk21Yziz4+hugiiC347OJJzX2mYN5FVkZJ96gcFed15/W+zBIS8Fu2pejZvzkryY1+VaxzeHVL0Y
1CDL9IytOlGgz47IPwu27dm8dod89TghmJJGMjsSWc3LeUmv176zYNz/7naafwWM+0Q6CceErl9n
RcbD4FTGBYffhzU5aq1Pw0fXQMbJbHWLrbncW3n/SuG7qYT+PEbOCXDLxmvQW2cIAShoG4GvMHjK
FbgqDEib0h0ZTRJjUtbXXpQedTveTPN2Vlb+OYb4tyKodUeksXdAoPXgsgLglful5Yl7Q5fmNpSQ
UKbKKNelitW60syT4jG4dgrvlj37jtxU8Bxpj2WVbBKzjI1FVIBskE674t9KvZyQEugRXhhWwEHa
EUoHAQxrwy0+A+9LBF2xaa3bhPeEe4BsrSBPWQq715i2NjqhThxhiVgwiIUBNA0op/p4S1o9W5k4
RTDRgjzm17kupAopoZHJ4BzG6JlowPqj0Ix8zQc67qSpblWeroysJO6+iDDsuPmOmBbabSrTvSKS
z9eAhMDLZJCGScp51ZspIs2R3BfFlDUQaqOF1Z0ZAeyBjMj+ye5AjM5Um6D5kpiAp7XG2iJzmpi7
VqegYRzM6uSuk+pK6E2Mv6badqCmZVKe6d3SfWkMBCSqW30s1oRJjpS/zrGovB145uE+nMZuM3Tm
R+KxBmgc54b+ACxKOln/jGZ/qadQX/6X9RTauD9uicWsD31r2v///zQiKVgFM/DE0EIF5M773n9P
Zc2fLIMIRcAWrovfhZ/6viV2sMiAAPY8AiEYyuKy/LGcoggyXQ4bnero7yXAo9/9YzmF2YbWiJqO
nfDvQf+erxUg81ziylibbQB511ChsOSl5K5HtQX8aM49a0xccmkC/YTEun0ljc+ei3FRZNlwIFPK
gj+RxKtW73ZBEaxBfkm8hsiJiryLN7NtOXbi98GvAfPOyWx9jsMthd+0dubcNq0cveuwyh5kTa5b
NVgjX3My6hLWj0ELnSZ6Ipbsnms4vziGry0LRZXRwYxa68znDlkaPvkC1EDieTfcxmrBUuLD0Opu
EwAAvM95KhCvHeNSjRtd5WutUbcUKhDJeZCYjp57nizGnFs5P2o9z1zm1HegklgyjcWpmR/LoLW2
CdE/8LmaL+P86ILP6NfO/DhbPNdAhu/ws20g88DpI/Gpqeto33MWGEbooFgZzv2cZeVOZKd+OzsU
IIn5NFEJKLG0np2e063/7cSZzx5nPoXSiJTvjIMJ4vjBm08qgpzWE0dXPJ9h0XyacSRth/l8q+aT
TpvPPBJ4SDgAC9hxHFrzuWhxQKbzSdlyZLLtxEz51eQgdfh13XyyRvMZGxrNW9jlAssm56/gII7n
E5mhl8FC0lwU82k9zue2zQHucpAzSy+uq8w4VfMZr8+nfTSf+6j7zO1kmvdivhOS3lu5XBKEnHgH
aiFW3dwfNheJPt8o4Pc3RMsdm6K9Hrhy2hRjOldQMd9FhoyevPl2yud7yp9vLI+ra+IKG6vxmf3o
hhLhVcx3XGb1txQzaIy4/nhlBYEh/ejnmxGvLS4UY7yO51vT5/r05nu0t+p3cnadBThak+0gurhQ
y5x15XQeORJ5A1du2shZR8carTwHveYcylllp74J7pxv4jurxEXDXoLixx0OvbTgGTubulS71oIW
JC28t3794gmyOMWYI5MreQk2sGx6d/VAdngneYvdwCcyKZwerLIwFsJEB2GVzp1b2cfWGD/SsEpW
jBhuUz8MjvbUr6cMSjDZtIZHGFhiM9WFvPw1nkqPlbrzFfsDQEqXsEbZk1lUGM1NW5Hn7tcnH7Ha
igFceSgcilpo+uQ4MOsvUEf4gdstACfxE4roCMz94yY2/M+09K/TeuzgMbU6K+EO1n6HU8Sf0mNl
5vp60u1qF3QTbK4em3N+GGKzWUW++RJDnVjYdttehULTTxZmrA9d95P7QhflLu1dBn5GGjLU+XYo
/08bDv7vKXcFI5m/uJ1Crp+3P7mZ+KkfbiYywPDhUtXqBJoxA/r3zWSRTkOXjfdfF2hnuX5+uZmE
8RP2fy6l+XpCv6vzC39p9IEkmZTD9hxCo4u/K2CSfzRkCSC88zXH/AmdsMf1+BuR6/ziZVqlxMQ4
gOsEe3tDDI8ssIjMqLRLGTLepsw6JampOKfJaRghcbgTEo9euR9U7AwfvXsUgYQOGpjJQIGUiybg
5HatnZt2YNv8NVCQ3UBLlRHfgoEnW5Et99LIFmIPajyLaW2jqECd+DS23YcTh+sBSUyrAY8ejZJj
T3yxWf4FIzwyqymA2EVZt4vLeld73rFhF1Kg/ZiIlcQiDSRb9iQwFg8OyuDBDDvWTSLCj2e+pXhB
WZ4+ozWSG8f3OxZ72bitQXcvcYYAE7CbA/qpfuP6Jfxp9i5WvE7C+A6mfom9nY61L9VNbsyoHLfc
DPYM8OaPO1owp5aTO/Bg5ka+4Hy7eFb6FfBPuR1NjEtRQKuhjf59nRY85p1a6fmgcZjEp0SABI6Q
+cPNKdMl1Ezsf6oY4Q64a7A+h1C2bNeG9IHmT0OLn1MeFzchORiL3PUORo+yy5HtycvN+4pOj5HN
DXJgbd3NSw/mjCgK3E9Dm5dwZn6jQuY4wvVe4ti4HZuSc8kvHIpqKyNe3LqfsuglIUt2SDnPIxdF
qxURy0xKcFzpn1D27R2IcrEyo25cw3kKUHJa5LGHT2HM3x8QVYLIrZiWNvmOnc0apMwtsc4a9G5x
glArXQ0BkS5RE9EiGMxHIl5Hx5U5+l5ORRM+w2+4VTWJOIVboim1iHsMIBFVOQT5diQbYACAsoSL
59EzJGKbFd2lKFz2Dj6fe8OowlDVQs/KF6OLrto4uqojMju1wGCZaHMxChO2j9eQ0g4nAfB4W259
qzhjLCH/VjqULGgtgiY663HxUsVVtKlS9oQEbq8UAEF74A8deioHI+13laFfm2azLOUw+0HwsgTd
vsnLh07rt0WTn8Ki2AhbgWTPIrgVTe/BpxvocNOQEZjeP7PK+Gh6ZH+x2g5RObJpqdJFbhcXfeRf
NTrXRTW0y8Tr79wk3bTkHk/ntj/5WrQZdW8fqPxiyPza7P0d+56L1rHt68d+a86lY0dyH8LfiUEM
Az2b+oYvaOQvbQ2mWYViusj5pXkmyyU8k4wpEprdTO8/w0QlK5VZzppsJR7VpHlXyF2GwkUVp7p9
oVWAWcFUb41c7kODJclEbjSNFarqhZt7asuWj3JVWf4S0tSw8TSX/p2dYqBCYir8JEbJJL52kkVS
FyZfC6t/rqbuy+QM8bpoIGsE1nA9dgyy8LigE2rtds1x1FtL9kzEl5Io2h45e2aKWUnfqSqkY3nW
7mWO1pgwAxxAD0T3uO42BDOy7QQasmCocrBCjqon2A4ESq3dXBMgN3rTcndoSOF41xaYijNR2mN3
5+mZ0d4NXq1Zx051xXGQeRo+A1Az+0vSlrsioPgrY0TehUjEJorIn62AJhl1cNv4FjlLiToIkXeb
WqvR7mn2UToqWjF+FSCW7C9VUTSsum04pbF4TjSAbGHPztvQJ/tgFXyZk9zFNy1moLYsXktfvIVx
ba5aF/uvNVWfSOiYDIQzXTIf2NnqQLzqFmTEmKjTWDYrFXnxhuHYSeT1jeZ3x8wtXpnPfE7IuAeF
vqlhrMroRqbLxlIHFnVSh57qOeVbROSwHflAKU2YSgyhqeba4U4347PfeFdaPL6kofk5GTq/JZCf
SZ8hoIpW2nQwRwVeUrI8D+rbZB4h6yHQWUUe9DENnZOepPrKU8XbEEz70LLY82rKXlbRlC/4Mp5t
Z8baSo9ORNNuGKybq8GRE1r97jTpI8YG5S95F8qdkzMTa9itby3Rc7ZDWnG8yCE1hIUaG6P7NllN
Mngya5xoroh9NLH0VG7iDbw4arOZD2pNHvI/WDkrC/3rcnBxI2SqHNaAUq5KF0wLWgS0doZziYb8
xCQC0gzpUB56hSZrqM3aN9sbxjUQtbuRzocKku7M97hAZNw9+B1AuG7In5iSH2It4W/spueu8sIN
T53gOwA6Ay+itqyL9qPxvAcO6I1eYmbPwnZhBtbOiosHFplbLXLUkkynPf3cdY9q05PFe8RFt6Cx
PQsdOYDkuYPh6yM/NmqyKup9oPVcCe0QLEyJIi9Mkr0nx1ljki9j16y2jYyGZSSaSxJ111Qim9xs
H/sMoWJCVo3oTL6AnVDrRAeJD8moYmJJJDLAtHDp0Kqs7KTfEuRsbG1mcvuWN3SJpfGil03Moqs9
dDmtYGUz02rUQ0q2OpoULkGOrI0WTcFWGwwSpz17OQ7U1jVP2jEwzGvbIA9La9BLt7me7ScT1lcP
WgvpQOUvY8faCxFdh138qOkFK8ycdQCHHAecHHZTZvJISPfaxJqHPBVFoV2oL3j/nwhqhQLjfJmE
9UXZ+qZs4AEmwTP8FHvVEm7nZ+WzXrg7S9R3A94MK9aQVozJUk/Do1kPbwEmyM4xP7wEV2UX3RBe
gR6x1e9yMR/imkTCW4f/DIV+GQqx2PqLsrugi/yzspuf+nfZzdRHoCeHjy9/iXf8oexm1cqkaMaC
fCugv5fdFsmPEs08uRTGvPgSP+zX3J+wGeCwg1rCfEm3/1YkBbfFbwZC30z63lz5QyhBTeeYFPg/
lt0sHNIy0WP9woobwYt02XlYlt19qeNu3YtEUbiQZwZQg0fS8B79lnhsf049k9J5b7P0zpnz0Fgk
rrq2JSGNqLRO0/cN0WnJnKFWQ0Nk2oA6YY5YSyzjdZhD14gqao5ZVe2rHo3tFF2sVtsT135CXLow
5uA2jDDsHUZOIKdxdznpbtOgrRwone1gF8uC/DfE2P6SDcEtZA0E+46GRznHR6AZJKlq99ocI+fP
gXLAw1Cd2Mc0fk6JnBsCJLuxjG+bOY2urhpC2+Qx08mpi8EyjXNynV6KS8jGY6ETajfJkqFRd3Qb
/2vpDccIT745p+AJhV44yH00YpwIjJ9eaHXXuKaMN0ZJM9vLXU1N/RgRrxfQTSzI4vgP9s6rt20t
XcN/ZWPuGbCXixngqLvI3XGSG0JxHPbe+evPs2Q7O7aVzAQycHSA0dzMtmOKXFzlK28pppS1b3ss
+BrBz81QnYoiez0Ilz6FZ3Cx7QvGfFMJH7/WjYJ5J7z9fBWXvxS7P1f4/pWAnQa2egiPX4DE0LXA
IrC3i2W99QwElTBpIT3bKIcXrnEeqbQYDYwGG+E4OIzOx9B0Fk1nrNEoW8rCm7DCpBAgBpqq2Bba
2Bd2wM/mHYaGgY+Udis8DgvUxQvhehhF9ScDG0R01kqwOhgjYpCoKpqHFDPVK1/3ZykmikS/9VTB
VrFyodtVGC2qGC7KwnmR3dc57swmn2Nd8i31rGvPHZbInvZz+hvHQ6ZuKX4PvZ6fjGYKp7G+42er
NKNMp7c2HRYVyI0f1hfkLfGp0yc35mmmRDFBAjsqaewMlVOfI636juj6KrTKpdlyMCCl4mGVHq2V
ppjnWUMQEKFT3UrVtdKWy9CIPuuDQnenQT3ONkjqLGdaZ5k+S9ME1Rp/WIDrX+j1GE9Ht50PgoMB
vsKeRmO5zp24QgjRha0+aEvVy04iQ1/EDky4COUqPeqOQ78Op345nJXwqiG9ndSUWUEcBtZw3yCk
f+entTbzPQe4pYli55Wao2bqgYtJpEs5d4orlB/Z55U+gO4iL4AIIrirut8jr39wDUdGDZYcWC6s
YyvtP1Zm+bWOGmRns+zS8pyl5EeXCqVQAHPGlAx/lvcW+l5WixicXC5soz5TtFjn4cBaWpSKtD5c
ZXWvz31X71DassZp2FYQ2pG8ruHYaOaw6U2Ahn3/BZnsuewMt7xokDyhdDQE0mla+Es/ko5SOqYY
hk+9MJ45krsKk2ER2Yi59tA/B33EgqG+U4oS7BvYWzXpF21iU9MKwlP45zSFIlWo/y878oQkT3gh
H2vMTIa+WcB6nLZJg48psrpRas2GpJr5gfMpCUM6wqUP9s6Bv1QE4IQTEzh/RFenkM/I2+4rGIhy
PUyH3oLdozuCILFGZ+6oKzWEaFRkW9Wu490aoNtQOKrK+6Zsz6ktzqpQv5EDj9B0wCoqAgKrGyh+
Rzh3ymTxBYq3C8THro3GfSjMitnZJke148G7t9qV4hE2SQW0Ui25cGW6rD74uzCgTG7jNePrzbqz
0pNegkaQREhCe/bnWEN+GJ9KCrfUQeQlznM4g7V3spofubSeTJSH5lEYs//1qTTJzexKa5x6Gozl
uS57yBKHK8FZyIP2zDXHG8J9EIr1pas2x2XRAvqD69g7w2wc1YVplnNNUo5ICdpZhQgtu7C2cIz6
RE7HhZ1iTedQzCty+WvsguCr1eaLBlVo2kGHOwKsdaEIvornXSqjferYOC2MI4miOXbHshmh2EaN
NMq9cJ5IgeA0GQ0Cvv2FFkuLKB4uVMf+jiwsCWEOQ6eeV6UtkdIUKbav9flQ5xe1Zd/2QeNPEwMS
Up8YDpZIavwpQld75uXt97BqQEbLH+MmBQuQnfoObFJAaFc0hakblN8Nb4B9q+Rnft8vinC8jRQV
wGyLkwJ6e1VqXJaSi6eu7HyWzPKuL/oThKuoLTWJRcXWntYKwRdcEb83znFVONFrgVLQhyO3oFJL
RaIY9BU6stHHNsahaKZQl1lIY91N7d6ex3JwRFUGJEOXjDPcSL7pMO9mQ5v1s6pUNs44nislAEDC
BW/mqcqCVDGEoYRNRY2PilNHa5BubJdQr2f0GO6yUL3IcH2gFoYGYoangl/dGyQrtSy6t8N5ZfYE
rexfpYW5CXjp236QPuZ9dhMHdES7VJvlMeAAGyJ9G6FqoY82dNwcQEUTNpclRYy5QZ1upacyknxg
R1ADVJDyfFRi+CXIX32JTKPzZZlAX4FfQ1rQIPSLftZP1PeqQIlgcDTnXLlOJp+MRXtRTGlyT53N
zVW1Bow5z6b1Kjg1lt3MX2UL/9iA9rX2l/+tK28JKUK94DcBbr1JgyreNNWO2jJ/+SPIlT8QxiJx
h7sarI4XGn/Cd4hmp06tWCjS/NT1FJEszoqo1VCPNLe/egaRIQlB1GxuUYnI7VOsfsU9+R0XRdME
SOxvpgizCK4LSDbaroj2yxSyX84i4K9aVPZxdt4Qs43rUM2N8EzR5VCd14SwF5wtLa7PsXFm5MUF
qKJ73UMWtlSTm1YBWZUoyWmhlp+hxB/HVXoVJNh4Syrg/xB3IcNYs3LwELe6pae1Hspd0akvd3dj
mD5AI+0nWatWSN2b2aXhjQslQVLBR1KtAQeNdwyM8LgO1zXaDj1l+FmptanyFX23Sd92XoxEN5Hc
EVlBGRyDoq9xLEbBfJzIaMaCcsk15KDBXHNQmW1+ZAVWsiwszD1ie9RvNLemtecmXYgrmeP5+mkZ
BtXnsHMp3LZaoi7apg1HgqLwxEK6PZzGjlFRYSgNFFG3lE0O0xa85pbKmRiC1hlD8GyQBJp0cXpn
Ce4nKroIwAg2KLTQ3EUEyOpgioaCM4pw6DoQLFIVhPaE2G9ejC6q99TVM7e9VaGeSuV4VFvSVUsB
I227I5pmM/xUTvvOQAfLBJUHibWMVSrEwSaXshO4rNIkq5t1I3ivFgRYW0Rh+OpdtY10hEvZHA2F
M1vQALRykkjdSglq4s1kBdvn1HPSswSqbZOVX2Wotw5sQhUqLjVNQg9r5Sreuem3JA5xfh1D3rXS
YBbn8rKD1FvW1GP67ghhn7tEUF4g/zp2dRwLNrCdaCr6Zt9TBVsb6MIatGFKlIhRQD0FA+ZCK8Z7
8nMJzdhq7FkO7TiFlo2xwrkNVI6m8FmKmEgFTXlEcbaFtqwn6RnvkpoeNUtozSHOmxU051EzFiRd
x2QyS2QevqhGuLChReda/dXL4EmLV+9Z9ERKnOMSZWlDqFYEr7SBYt2oPkCx8Kw01cuC1mM9SrcG
lOwYbwi4wtkM5tJRBWnbDuyJA4mbriy5QXxHGnObyf4VbJSFmxuncNEWKiRwOWwp6A7KaQc9vOUm
pg6E8QjiOA5Hx7R+pqUP+xhiuRRwgkI0zyqAAXBZHkpLvWqd/qoUnHTXa41LC5p6YHbw1V0dOSI1
OS9jHA+JgaC1B2qmwXFvGS+jL85lIGydwpRqhB0BDeFpIXBuOYC3AeCbDABOTzQiSO+yF8i4HheK
FrbSTAM0V4cD0w8UXZ7j+StwdZLmfqE2ve4E4s5OmhvUloiBNLIegcpTBT5P2SL1BGZP8ilr5q2U
wnZV1q6uX+kC4YcoCJX8njfehs5FCAyw0hNIveACcyJh8D9WuCA4XNeAB4HYTQ1CY5l8ac7s4G2p
Kvx3ATlEsmSaAkJUBRrRHyrkOIJz3Y1ONeCKCk2gxCzOcoFj7IrkPhfIRnWU0KcA6xgK1GMA/NGI
7SPcebQZ5DM0WQRG0hVoSQlD5kzgJ1XfAIUHpDIJ4MdEhC+Jmn2qBepyEPhLKRnPGgCZPcBMUyA0
JRtAXQ7rqRey2CkwThM4J6S6Y4kT2JaaeAHZP6ed0q1BHg9wk9kBoDwhfikQoqrAitJdKBZhM5xm
AkdqasF5BLC0NRsY635/45kG8x2jw1RYA0NscAUqFeQI7BGAqgTSKXgxIb8lUKzYfcQncGai/xa3
HotbBrWeX5/9N00WN0n68PbkF3/3fPLDQhVNZVQvVIUAUvSHf5S35A+0crHd4fBHE0OAmp7xTvYH
XRS+ZEXFWwFvKqK6v09+kx/Q/0Xb19mCzv/g5Ddf4Z225S183ukBqI6uowspyl8/xY9Ka5Azg1s6
Hw3/WFNAWbQYmPRROhvTMFu0BlVurHbWeh5HC8T1VnKjLIO8Pvc5RVKgtDC5abFKgml33FX5Jmr0
z24Fwjut1/2ocJLoq9E3SyxPsmHqW95n9JAuqQVHczNJNhTwzKmOB8zEjZt8OipdfJIM4B/jyK/o
wNXU3jX/pGky+zQlBbR9Ub/IHHkyUgkqneirSclWc5ULn9p/XrJKcyf81CmtaJSZ57aBEIDa0BaN
EE84p8H5zcwy+ud0tBAOsMxp0EbKEUX107q2jjQ3udGG/oFUe13pjkjZbjoSDWBG3jIzG+R5R2Bc
rXluZNZxXMOIdHzjVoMKMmb1l843F1WL4F+pSPhvOPaF7pRsSODou+gs7MIFx5kLuAV0EnJ/YDxK
6c4RKPVszGeyEZ76JU5DYz5Af4zqI8Rx6DFFowILzEkWUuh86a3kwmibU52u8lleXIJSXySUwAYL
RXaDkpXWXw0YkeMAQgOe7EhTANnH0qdWd+9ofi/MpqF50nbGSouTr8HQ3ObERrNkhJao9OHZ0DJ0
RdRcyr1LfhWZycdCPwLfhH5ubXvEdIXVnnkygibUvgBj4cE6NO21jwcH/x+fAJL4WV2kHxtuw8Wi
bRoFUj9BHn5pBDJjYyvsqQOocd5DGOKgGMp2PMsGm2bFoF0FNi27zv2mFzmFUdO80TPzSkJCZopm
/qmDUSPqABZcyJyCfVD6VxI1PwPoM0pd1Bj7IrxBQPnepqOVuglAz+hbmJYfPYeU3lSNjpZuZK5y
V+nQFHARBs56b0oEvtB0gfuyqJhiUY8UUTMbkV42xogaVLuKVNxC0qanWURvnKA2n+kmxU3Zyj9l
GA85VIxOEY7FsyWuAvweoZKlvYLuUQXOT+J4n4z9QHlHcfI1KDn4oNGVmzf2lDgbz8qAoiwIZhvt
rLSZxCX8L6SiTumYU7qpPgWmdYri2lXaZsHUClBLlJRxXCZpSH6KzdLCGVJmpqZ+ydPi2m558Ubn
zQbCJblx8VCUlJnWGqid2FcNZrqdRmNHcd0jK5LwvmHSw3K2F/1IaaLEmIjmVVSRcSOMFRZIi0jj
sIHegQVOBZ8yZkQnNSZudSvN5Mico64AhUMcvdColgGchPkQXRGiY9SJdoI3bqRo2NSteeP17U0U
Axru7QvEc1Bt8gjd8MxCfiaQPkLXTEEtW3NhbecPrXlMMaOb5HD4eO0081Jp2PBeh2O9MuCc53Th
IMHPVEl/UPtqHcvSupfrdI7+SDqXh3FDOLIa8hqvZBOwuWwFVNI6y5oMJSwJteiuE6vLEMOolaWr
ehz1msn9tFiidg0zkJ9/V2OsuwYjdolwEM+wY+mqaOSHKmFK6GYSABqzbvOyOKtikOmqoj/kuXxu
Sd2iCnsTHEesz9POolqkYCUtj+Wpq0CQT3XeNiN+gkdYSk2O2dTU6Wcdu4VFJrEHe4HtoFeCQGQ8
eCsXVMIqU4ZNYaIj57A16hFQByi5RAP6eqz980rYIlIvANwTaNc4hHTgOAEkVvIyLPWbfGSvzJRr
xSvUaTaCLpUza+N5+THmzeROejDrAtmkpdncSuaoTN0wEH5e9LZLg0kdVe7n1hw/l3Vx5Ve6t/Ji
CZs/pRFKP9ih1c11bivJrIx4v5oE/0cru2kH9E1YRX0Ny5itAsUY3zlno1vShYQMoFc3iKR8jNT6
rizQh4mj5k53RnmlqJ0yk2XVPxmrkNqr7RvTAXNvkKZQ/VC5OSqr8Do1teWYE467kfK5i2iKO3GI
irwTogpKOVTLzYlTqh9b87Krjkf3Uxec6L52mYaE1jCIQym5DSDXm0paL800w0w1Ax0SK9VKDs0H
hY1+riAG3gYmS1unKCth0IVG5xjMYytoJoGuz7CjOq3ymBhdXVl9zPYb4FI0KNfI/Jz42TACKWru
rJq+vVzUx0V9JpK22kCuz6MEiKgf6VPmBEsVD9UpFJg7ZRiXELvC01Ri+8fuY+1gNr6AVhMttLoP
J6OiaZMqt3lbrlAX945RykVwGYNO8J6Z5xS0fjV1BV7pAVVrf92lNYZX8EAM6y7MwBnh0SFYBcU4
nCm+HEz9ivdsocyHcEw9D8CcACyujt16pLwEfvlcHqVx5ZKkHrVkZNSvbXsDRGNYjj20Mz/HdJjD
I1w4hbdIDGVNGeGI3ejYdJk6tg6ppIZQLZU6tqZWzg7RFt5Er6SVX+hnul55q9SXH7RBfoBW8pUj
B0wZDheDLM0SG6ZqJPPo3GOlKdks6mMkXqN0Ynj+UqVUMaldegDo3X6C/douB6UO512BDydKjpAH
cAptJdFWMU88kat+BZej6O4V/fCVJHUqUkHWuZaDTwiaRJkCdLhl+DnFlfgBwsZxq3rWIidnLytz
GdoVIFLNShdpL0eA1mRhFENlWim6T2mNvWofXxv6MDNj4zZxigsSyXpijtFRp5uLMoDqwzoB/9Av
lDq/QUTyns31ona6dIpjTDgNzOIKxPaCDQ4/KV3gHRQ4Qj5pjDXS5DHBNuC1c27BH5tEro/qEDb0
87KvmQ8URWa+OeLZZlYA+tAeyk1MZoJM3Yz4qFCe6JCrhb6ObvEZQe6nssxPeyu2plkizRVsXTAw
/czRsmg79YqS9wkrd0UZCgPlzr/Nob0A8CEBVDhqI+U0cOsTN87ujFz5BNtQ2KRZdxVmylkP2Bkp
eZzhsF8gd/c+JgNqvooUH43BcamX697zFnmnRrMmsC99I+eMlszbJm/XY48JTxp8jXUDyjryGpU2
nIJkbFZDOdTztDfXiYK7vZmwEUo0iowA8UJDX0WZetrJ40lTahqakKSFJmqTYZckFxothJlX2xL0
dvA4ON9BMGkcwcVT6f8l6TDNK0sHNVmuKuyGZ6UcfrU6Yhi7by6sHFKKU+Ig6TlVdZoUqH4WWkfX
1MKHELByFKPJ4WxrSeq2rkReSY3JrKVjU5SdTD87craVqHhblRq3Far/lmK3pVgDZvev07GPKJA3
u8i84s9+ZGP2B1NTVQefUQWVkJ/dTknU0LSE3m3oDiVQ8yeNQv2DQyYGCEB3SOO2OdJzNqZ94DBX
SeE02VK2v/qDbOwN90QYp8IFQQZYoQmpv6Ly9rLktWWZNmcjeJWCJQ/tCUhn8ogB/2XPAPHg1+Ve
eDQq6DO47LKqyq+9HRSoJoUZ6jmRoeHcRn6Bh2GC5ea4okJsgG+o00Y/Qh1hvIb/BWLUVJDts8nd
8izEkgNw74mCzS8+naXRX/gE7dqQkSWZg4eNYxuFlfal7QvTBltftC1oeZrDrY6toBlJ8XkXxqgA
B3meqfOsixsYDxIiKLhouuknVMGcuYBZyLMqvTdivcM/PY/P9QZc1VTJaXotMrfXMLFqoOGiKIRS
bpdp53KrGNFpG4fnZY2kR5Kj6O07F5oiPxhV/i3lUHIr+cZCbgFz6KUhmRnnBk+B6SqtI3fhJGAf
kyN3QONOiyhh01yaxUPx3cdkEcHbM0XNvzdae42zGScuXODPVgS3w4Fcu5asvIRCapjHceDQCE2g
pYwqPguSpH3XwwqSg4tYWVoXufDmLibkZAYWgjaGIs5ZlVKNGlW7JeQb1WWdWreDIn2KVXAkWejT
0a9rT7UmHOigKJCtmANYwVZWF5eA3qdEZnlb6rXWz0w79a8wlgZQbCnl3OllpMUBdTCKSElMqghJ
N10qQa1CrynMGg1gCanHn9beDt0HVaguvOgoIJUFWh6NK53FwbR+WVcohrLwPHSZzziANoBnlWs0
hSf0QelGpZSPJ1AH58nSmpdzTvBjfaHNqZdN/61ZhOhc/H0fUMY0fAAollD5kOGH2aJ/9lN9w+gR
wkXaLzsjtD/GV7WfRl7hktcQjdhW5MyL1gXjqprwYV1bXntW6R4rvCMzKgBYW8OZ4+LPZavjl7rP
nEWlwiav63zh2uMXy3BxaHGxSaVYeEcpHG/RssBlq6KS2Hcu2D4fwCfu5HOw9stOASLkIsSnY6Q0
Gs5q1ADEqepS1w0EJWsseQMHeEmSrkIQ2xkYtkkm5/Ou805VGDpkCNCjsFLD+SWE8I5JX9c72rLw
RANf8269LluBlluTWslknPlSjphollMA15XD69+/4pebyJaMRyoHG0F3qB9pr91EnFHtnDxxyzO5
xWOHjQD1gZKzHf/lOX72OMkWHtiwHzv6rllFtezl2wSK9fN3vnqbUt9aZRt51VnhaZ8R4p/2wEHA
D1krPWkQAqbE7ZlUUyw0kY2YOr6hp8PpWGI9CN3qNAvsT3JQFRNK4N+xASacK9ZqZl7K7nhveMWX
pAuKWZEW+X8F859KpLyBH29QmIk8GYEI3f9//uNz85U3/NoaBNeNHwcydFAZhw5In5b9KIbxd3lU
4aw2ZRSDqYS+pIM6/MYBMij63k/t1OcD2UaE2IbHw6+2/uN/pK6BIOCLCSfa65aGgAfUG2IDU4Fd
+mL7iOuyluEzy+d1mH2C74C1dKRJJ6rUEM3iw3hpZKw5gCbOWR+51SKDwDitK/24zAw4BylQ8EB3
jNOyhO+l2xEa2Z25bLvmOrb7fF2OEq0RWaewdq+gPA6ip0O+E+r4aHZHjmsvyJPkGarYy0ZYUKUO
VplWp992abnSAz+9YZdFWDbP783OhpSf35YKnoJ0czhqveI+HpxollV6SuDerfq871Gryvz0Utbs
pRLq+oWkmScuDIl53cnuNOkkF7Za2SBWR9Li1hur8e7dxEYxaoDR5mFLcgRVIJkUmXQFuTy+cGAK
wqqnyxBrJfCfwbJmLjq/U0+CcZG6A5VZHXU5R/tWBSYhPl3HOiAl8aNPgard1JmTz6RQfcixH8SN
zLstIcIGRXXUQHlAEkBZgRL5JsukeqHvryIHTo8crisUtJLUOwlH50aBwYksGii/UpVvcotkcOQl
1H5eT3H0xT6kxm+kqfCrtKpPdkepE5Nh9lwDfoQuX9ixrsx8N7gMHHR2pKSDtTgMqFfRofkulzlI
HNFhDE7aIfOOtLC6akzwer1BOXMsk2pqmfEkNCnoIh06s0ZQoYUkgShLHdXCo6uOqwh6aJnMg7Sy
zx01H5YxngITsuUjRPUdGO7lg1q0FC9Gy7uUGlTox8C4dwCmnxWD+j3OjMEkn8vkGZx854wkERPh
FL9TN0KrrjYoE6Zxmh97yDX7VJQBPNvnSHhA3DKplntD9h3uDRUDJTtuSvUsz3LE2+mZYZvCOaM0
qKEohrQM+5YjSGm+mLn/MYqQDSkbZ1qoPh0BFbGUymNwY3oDEyCQH60AMKqbfU1Ifmh/6cd6Kl0q
dv6dkv688ftlg6r+NCU6mcp1qR2ZcXGUm8lxXxtz3dPOByU61zV8rxzhBSBn4Z3cubdGIlWrOsJs
xZes27L2DG5bPXVz4inJpnxdFIkQeJWvkqE+lrtgWUThVRDgANvEnzu5/IoHZoZWINS3oWrP7DJq
Zkh7iOM0XRs2g2vo0jEG1PrSlIU8DF6pMyCWpxB27znrtVlVD3e5pjaTVslBmYuif42p99C3R5E7
yvR55bMu7r76jDVO2Lk7Tc2gmGRq/klL87UDLsq0s0Xoa3QxED6uZTT3SsTbpLgrUOTPsmkUNif9
EBXI6caAIwbjWy3gpgXsvcQOTwu3VKdBnkRTqqRLzGi+2GFxAm71VonGj4pUXXJ/ENAFvbpzkO1G
koEbnnlj22HVGq1t0IaQnuWrytG+DLWTn3s60jsBjI1jirHSETWgcpa2wWkbwdVupAc/j65sMzUQ
zqFNCmTTrY5ci6uMpW+sEvLi0qWdEmqk70miXoYyxQRb0yGAKNU4kTIrmiYZk3iw43ZKveQcfBjt
mg45S1R/oknvAXlQZVDQhnwPMzGcbo+X/wf01qdb3Omn9QOLI357kQVpfZPNXzty/Uf/6Dm53H2h
p5P2PzPoksk+X5zc2xvbWoT99jrxBhul5hunOyB84nsHMSuUMMWH2DvOUu/p12g9qAKlBKxf4Td8
109j9KtR+P0DXr3xLnt7nV/f/M+RiGE4ZNd//Pw84N+Pb31QDZ3NU3Hk7YcU58XjU1Gg8UsuD9ly
+zmEQQBe9joeE0zjPx4JrvPTUDgfHOIwQyXw2n7IFV4MhfCGgK2BcsfjrPs/ngk7BkHmZ3sPgqGo
mo7v0eMgvFkOSJ8wYRRFiD3/3y+HN4MgbnvvQbA+UDyDIU+AvnsmoJkH3sESOMcDHAOKBPuvBoqM
THRwub+YCGwMFCWQsrEeK5qHtxq016XWPz8cdEzLSMRsjaRKfEjlX2wJGDgCOUFo4XHOHd4YCGe0
PXcEzG2Y6TKl1lcPz34I6oc6NAL04nOYGwKLgbe29xiAf1Ipn1vbJxX77It5wFCQ/TtsnI+lhAOc
CPsvBgehUB6RLeEXg4BlIKsFPPehno8CnbbnTDDQQ1FBtwgLBfF5HS+JmYD3IefjwW4Jr6tdf7wt
ohdjiYq4KgJn8XkTKelMFV3jfDzYA5Jb3nMm2B8whjQJFx/HQIQdr/cEUgrqd1t/+MPdHkUlc8+h
AB6qK4YhCpbbz5vtUejlofuDmPD2uw5we9x/ZzA/WOBgGYWn9OH1fBABE2YpCAce6vYoLO32ngkG
InAKYumvVwNpNLVkSzMOdUsQotT7PT1iWaIBoNNLf/30BJJ0BlAKedoxD3QZPGW2j134H/WZP6qn
qB/o+4PRFfpiL/ZDYmWk83Hw0ShbiM+BjoGyf8jMGPD8hk5Xfvt5kzYYH1BiZ6sgrhafQ42chd3U
fktCA5BC+4t5r2+f9E0GRbzEL2VQuY9R5aEOhfK4be2zMtDMxx1UlXGBf/y8XiA2W6RjmsBTDnVp
7J9JGR80a1teepz5b+JnTklRj8VS4DFCO7xQQdl/UZgfeDwKSPrTTrgjVIBl61BjO9RBEFCZPXcG
m8ozgjnm04n4JolgJqh4vBNTHuxJsX/3gdnOKcEjPhWY3kTOKlAAQ0E36DFKP7zl8IZf9sfppGZ9
cGzB3NJ/0YPgjOAEURA1PdT0QUAq9lsOxI6kULQXaBxuP69jBlFYEFpRgEgO9HQQEd9+g6BpBE5k
zLb5q6IzlXlEZYFPHWycsH9hQf+AjLaqAXt8DBPeBNLsnDArUQ17TLcPdSiEYv6e88H8AAITiQbB
EhWf10NBc5bCNKU451C3x6eu8X5xI7Vn8mbrqe7K+36RWLEzQH7FqkkocjDgh3dGPN3YPoPAGSH0
9QygdL+aCXCM2RzFHDnIQXgqCO8zCAgG0mpig3w6KN+cEQARIesrcPkfP4c6FHuXWogZmPAsCdjo
28/rRUH06JiYX6jEVtvPoQ7F3pEDCBYVzoVOtvCLyIFuNYED+jiHWnp7whLsszRECZr3bFlPg/B6
PqiQXMB5oxp0sOHT/sel9UGTcaT5kVO9OS4JMm2q9Cg5PC+aw9wq964z0KIimwCr8xw5sMxeH5oG
3A6dSsOB7gxvzCD+OLEipwCdQc0Vptj2syO7pCArYwZxqOGTEA3ZO4ZEs2zLbfvF9ghEHwEQMPgH
uz3un1NQSzHRW9HkpxhyV+RAU1vQYA50OQjy1X4zQbRnqLsRRD5lEwzryz2BYgvHJITCx+86vEBa
23sQSLFhhqJI/VR/fVuA5RARnBRsYg90Jmj7H5Q2GyPwNkAcj8Hhm5kgjg/xP0rV4nOw82Hvg1Kj
K2HAbCTBfByK17VoyE26rMq0NQ91Z3i6sX2iR1GLJq0Sp8Tz+369M8BkpkV1sIOgPb6dfQbBonst
Q2Gj5v74ebs96qoMs1sobx5k3Ph0Y/sNAnklPLnn5fBmZyCZUhEYdfSD3RP2jxYotnBK6li4Py6H
HdGC6tC+cpzDbtrq+9cZ9A8Mgigr/RrVgzmaJlQInhfNQS6Np+m639IQRWc6VU/7w5vsUvnA3qEQ
RB4qwOnpxvYYBAF91IS4xTM14M1xqULrBdxBRfZAN0lhM7JfIE3FCaMDk6LTU175Zn/YgoAgHAvM
+EEuB2PvnYFsAviOSavmFzsDvQnw4IRNyuMueqjnxRtx8D+uM1CMRXMRaJ/5qy62IMiLnpV1qMV5
IVOz56KgAokqDySBp/mwY3tEmBF04OGm2PsnViBbNGSGaMjtDqQFqMMRp8QTbODwUuw3Ak1/vhxA
v4No0+RfUUq3g0CXxhQS9Ye5Pe5fdoM/ZoF0o57yOo3gCLVoXgOI/c+f/j+YJz+4x1M/iL9tqck4
WG6xq4+U23/7D555u28v8BPddEu6ffEvBVX58dqPpFTx3//afMO4fBZUdRnc1+q2J/vTb597tNtv
evr7p0d8++Uvvuz5uZ5/uAoeyk15jxDBlov9dKOPyiX/EyNg8m3zmiwr+iTPP9tNs/6xE/7+6nmw
SzhacA//ftR//uPlSPy0zf724snmW1Y+X+jo2z//8SjVIioxe198glz+w/N1fro229/e155u4k3L
K6mer/XT9QmT9r8+et3Vm1dKGkak9Q4XT+ty89c02+kzLVby3l8xe4j/OsvKneNPCWPv68/jv2ZZ
yeR5vtZP40/gu/f1F+VDle66OFv53hdfxg9p+nydn278PZbrqkm+ZvG3+u3lBfFh71s/SvKHMtjE
z5f6++4Fnn7/y6fDjkEXoOy9L33yUO4Yc9EW3P/SQert2AgEgnjva59uoh17mOAWvcOlq+ph15i8
xwI9zaq//if1HuKHXSPzHkt0vfnGBvw8Dj9NxPdYoutNGewamvdYouLayDLvuHX1PZbo+iH9lt0H
u3YvAcDYe9qsH8r7h2/PF/p73AUJdP+LZ9z783V+uvZ7LNM1Dq87Lv0eq5RL1w/lw7Dj8u+xUs82
+a7Z8h7r9Oyh3byNHbGBfo8lel5u2AJ2DMp7LNGLeHP/sCN2FAC8vefhBUrSu4I7oT+z98WvAkLH
Kvi2Y2RE53fv619v7ktSgrTeMd1FV/UdviD9a/KQBju/4D2W6vVGfEGZbspvOzcyofnxLk8xCx68
XaP0HqtWPMSCFXAfVPe7vuM9lq/4juNsUzS7TivtPdaw+IbTJqj+Ov8aVPmu53iPxSy+Zb2pH3Zd
/z3WM9dH73OyKb9udsUMooP0HvOJ75jGu7/hfRa2eApEDMfn2/37iBQw/P0fwd/szAkFSG3/i1PD
2Dn477KYgyoKhqx5vs+fBuZd1nIWb3ZFDwIosP/A/M56flvv2aN+c/3vbD/3/gJRZtlxDota+95D
c/Pgb5IdsY9o7Ox/cWL8oN4RtAkQ2v5Xb9gJdhzxQhnhHS7+W0O3fd/p7w0K9r365yzesc8Lu7e9
x+U3Ks6/v+tdZdkfHJu3xdpndcddf/ayFi3+xX38sCn/9b8AAAD//w==</cx:binary>
              </cx:geoCache>
            </cx:geography>
          </cx:layoutPr>
          <cx:valueColors>
            <cx:minColor>
              <a:schemeClr val="accent6">
                <a:lumMod val="20000"/>
                <a:lumOff val="80000"/>
              </a:schemeClr>
            </cx:minColor>
            <cx:maxColor>
              <a:schemeClr val="accent6">
                <a:lumMod val="75000"/>
              </a:schemeClr>
            </cx:maxColor>
          </cx:valueColors>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ln>
              <a:noFill/>
            </a:ln>
          </cx:spPr>
        </cx:plotSurface>
        <cx:series layoutId="regionMap" uniqueId="{8B41AE8F-EF6C-4691-9039-BEB35BA89F7E}">
          <cx:tx>
            <cx:txData>
              <cx:f>_xlchart.v5.2</cx:f>
              <cx:v>Amount</cx:v>
            </cx:txData>
          </cx:tx>
          <cx:spPr>
            <a:ln>
              <a:solidFill>
                <a:sysClr val="windowText" lastClr="000000"/>
              </a:solidFill>
            </a:ln>
          </cx:spPr>
          <cx:dataId val="0"/>
          <cx:layoutPr>
            <cx:geography cultureLanguage="en-US" cultureRegion="IN" attribution="Powered by Bing">
              <cx:geoCache provider="{E9337A44-BEBE-4D9F-B70C-5C5E7DAFC167}">
                <cx:binary>7H1rc9s4svZfSeXzSw8BkLhs7ZyqISnJ8j1xLpP5wlJshwQv4AW8//q3aTuzFiVn6arRh6M6yk5t
JVRDTT5Ed+PpRuPfd92/7pKHTfmuSxOl/3XX/f4+rKr8X7/9pu/Ch3SjT1J5V2Y6+1Gd3GXpb9mP
H/Lu4bf7ctNKFfyGTWT9dhduyuqhe/8//4bRgofsIrvbVDJTH+qHsv/4oOuk0r+4tvfSu819KpUn
dVXKuwr9/t7dJPJHViq5eb99Df/+/o90c5+V79ysVlX//t2DqmTVf+rzh9/fbw2D37/7bfprO5q9
S0D5qr4HYcJPiMWoibn1/l2SqeD53w2EzRPGMBbEFOb4QT9/9WqTguB8hR7V2dzflw9aw309/v+O
/NZNwKP4478+grvxUYwPPwAcfn//Wcnq4f7dbbWpHvT7d1Jnj8+q7N1svM/Pt48P5rdt+P7n35N/
gEc1+ZcXCE+f63+7tA3ifwH4tq6qh0MALE4QwRgjjMTjh09xRicU28iyBN1GeL5G+xGeyM9AeCJx
bAiHG11t/vkpbJknNrMo4YQ9TlQTbMD2TMYnhCOTczxFeLZGryC8LT8H4W2JI0P4jwRM4/0BICbs
hJsWx5ySp0nMdiHGDIMhB+yffMOzlZ6v0X6Ip7c0A+OpyJGB7D0k764yiAYOMJPRCbMt8LqIvwKz
dYJNiwDME5zfpNR+pHeHmIH1rtCRof1Hkkt1AKgh7qKC2BTZ1n63jASEX4zZYNqnU3quRvtxntzR
DJAnEkeGsDMGXv/8XCbixEaYWOZrAGN0YtsWRRCYbQM8W6H9+G6Lz4B3W+DI0P0C3rAuD+GSwRRz
kxOTsFcnMCyekElNiLhf+uQ3qLQf4ekAMzCeihwZytflRgWHmMTkhAlkcU5fs9IQmNmwQqbT5fF8
jfZjPJGfAfFE4sgQPgcqRh/AStMTgiHgsiz7aRaLSWANbpjCNTDSEHK/nMWzFdqP77b4DHi3BY4M
XWC+Ns1DuTkEwvwECQr0B3ttdWyeUG4KcNWT1fGblNqP8u4QM5DeFToytC828SFstTiBpRFiJjCW
j589NIhANqKcTYCeq89+jLekZ8C79f0jQ9bNklofItgSsO6FKQrLpVexNSEYo8Kyt830fI32ozuR
n4HvROLoEAbSfUT4IFQmrIrNkfsgrwXVGAObbXGboUlQ7WZv0+s1tPeMMgvzPXJHhvwieedlJWSh
DhCF8ROGBbXxM7spplHYmIsSYyBu08f5P1kxv0m1/cjvDjED9l2hI8N8CTk7dQjA6QkjiNo2ek5K
TQEf2S9uwx80sefzNdqP80R+BsgTiSND+Oqh2RwkYwEem2IG/MizxyaThRXQXyYCd72Tdpyv0X6E
J/IzEJ5IHBnCl5tSqgPYbHYimGUz23w22jt5ZXxiE8QpExNXPVuh/fhui8+Ad1vgyNBdJQ/qEOgC
e41NG4kxZTxNJiPBESP2JAU1W5P9sG6Lz4B1W+DIYD2t0+9Zcl/98/MWqgUYp1DusYusdYIoIiak
mZ+4sO2V1FtU2g/xzggzUN6ROTKgoV5JSZ1s6kNQXwy4SxNmKn2NEQEfbGILVlsTE/02rfajvWeM
GXjvkTo2xDOVpYfgSPiJRQQVDD8TnTsRFz5hyKaWNZb6vaSyb2dr9ArS2/JzUN6WODaEN+qd81Cq
TXkvD7J6AkMNZBfi5HleT5FG7AQLyxQMllVbQL9ZsVcA3z/OHOD3Sx7ZC7BO84dSbpJ/3nsTmMMC
cxuI7icidAd6+8SGdbWNoKZ3/EyYkrdoth/7nRFmoL4jc2x4q/4wJAk3MYTh7Dn5vEOSjKktQSnn
E/e9nqnPKwi/lJ6D7svvHxmyN0kNGwQOMI/FiSCUAeP5TIDtFHSaJ8LiwoYasW0bPl+j/ehO5Gfg
O5E4MoTPwVEfAF/7hLDH4q8nMzza4a1lNBCcY6YDSvOndQUz9dmP7tbdzMB26/tHhuzFRuuHA2AL
K2gLyja5wE8u2Jz6YMhWULhsAfe1PXfna7Qf3Yn8DHwnEkeG8CUk/R7Kh/4A85eeUEYZI+ZriynY
NQNrKUqmFfdv0Wk/yjsjzMB5R+bYkN7cQ3nQQXCG4iDgMoHHfvxM7TTMZZNCxtlCk7XU5WyNXkF5
W34OxtsSR4bwRabf/QFFnMnDIcIt68S0MSb8Z5nfNFmB+MnIg1kM6ofGz2TZ9Ebl9iO+b5AZsO8T
OzLsxwxNnh2kcIidwNyF2c2fnfV0fkMcJqjFOJBm+0jvt2i2H/WdEWZAviNzZHh/qqFOLD3IthrI
SnLgvmA36+M83om7wZ4TjhHiGKK2l9zYW3Taj/TOCDOQ3pE5MqQvH9R9dncYFhQ2No/ECGPPVNh0
amMCRYOMEiImYfiblNqP9e4QM8DeFTo6tMs72IPv/uNNCtgJMamgnD5nJqfuG2a1xZEA723tc9+X
D3P1eg3tLflZUG9JHBvOGUzqfx5mC52A2QbOC9EnX7xTewA73S0MJUNoYrwv5yr0Cr5b4nPg3RI4
MnSvNvkhVloQYUNu0oKdNE+eeYc1wbChDrJWEKpte+a5+uzHdkt6BrRb3z8yZIElOESeApCFbcp/
G+fR3U65Tow5FxBibyM7V5/9yG5Jz0B26/tHhuxNsrk7SPcYfgK4jZXXz/H0zqyFEhI2ZiPxk8me
IDxfr/0YT+RnoDyRODKcP0rYJqfl/SH2TxFYOpk2Ic8Zi52lE1QVENhEBzshJyC/San9OO8OMQPq
XaEjQ/t2c1dCRxlVHcZq2wxaUFiw9/HxM7XaUKBtifEPpLHGz4QSe5tu+1HfM8YM2PdIHR3uamwU
VdbDPx9kEzrWbSPL/Blk76yl8Al0g+MmbGrf9ta3m7do9RriO2PMQnxH6vgQh5IxaGF3iJlOoUcB
dHiDNMffPnorPhtnuolNKAreRfwNWr2K+HSMeYhPpY4M8U8P4eYQZaCQnYbaLwrpjle2VsEWStjr
DlhDh8c9dn2+XvvxnsjPwHoicWQ4g9V858mH4BAT+7Ggl9lQEDhdcTEo5Yeef/znlN+x5PN12g/z
7m3NQHpX6AjBXkIvmjup77Kfz/yf6NLKYNOGaTKo9HvFhOMTCxrV2pxMYvPxkf+t0Zxo4nW4d4eZ
Cfmu4BHCfgl9Zw8xxx8TmIxBHeArYTqYc8whE2LtBOjq3WylXkd9e4iZiG8LHSHaZ9mmqA+1rRI2
VVoYpvPjZw/hggX0KxLiqWJlD+pvUO513KeDzER+KnaE2F/UUr+7/i51foj5bgMLjinsjAZ7P352
sppQXAgMDbQN3GPp36ja6+jvG2jmG7BP9PjeAlifO5vy++YgRWnW6MzHndOvhPBjUzLBIYiHhjeP
n5+hxlPTX/D5b1Pv1fdgzzDz3oI9gkf2DnyCXfXQgn9OSPW2jvzjBl2oCgcn8AzuDjGHYWsA7M2G
bkjbuL9Bpf2ITweYgfVU5MhQfppKbnKYeQ6EOpQcQr+y18oa0AlE/AiaZEw2gbxRrf1o7xtkBuL7
xI4NdflQHsSwQ1cFakL9GX+i1PftHICLYPr5/uButl6vIL4tPwfsbYmjw1nHss/qAxhx6OROYDmO
fzbsh2Btm3PFJxQ25ttQXL5txG/lfJ1eQ3kywiycJzLHhnSWbA5W+wDZ8XGnyP5wHbIploDpvMOt
z9boFZS35edgvC1xZAh/qsFJHyItDh2CiTly5a9UFEMwjsXopu3JTJ6v0X6EJ/IzEJ5IHBnC37Lk
EAtuOIiBwQ5riKinJhpsOIMdIdAUZ9tEz1VkP6xb0jNA3fr+sUFaf4c89z9eLjxWhiPogQAVZ4+f
nU7AcPQCdAHmsH1vguxMfV5B9qX0HGRffv9/AbK/VnHrhsfDzv74+Wz3JEDeekodNDSBszIoECL7
3ezIiCDofAO472NEoKX23yfrPW362KfTflRfym7d49Mt/vqhHOYYutePqPv7qD9vU20Wj4cEvjil
7tdXH28fzjaciD7vktn3wJ4vre9/f29DeuIFqOMYW9trXj7FJwT+I/UA56L9/t5ACPrajFv0TDje
yIbmnzBg+/B0CQMlNnaShH5WHN6CMdeh4Aym8Pf3FgRYaCw+NUfo4eQkyIXqrB4vQbMUKGfjsLsL
zj6DHlcC/X1+402W9EGm/n4gz39/p+r0JpOq0r+/R/Ab+dPXHlU1bQEpc2gfTiHWI0DQg7/I7zYf
x4MJ4Nv/rxpIlhd13V2plohF0/ph7mQkYrEbs7b5QA27P4u6RsUL04yrb1VmNZ9jS3eFo4Uqvr54
evu0ARZoqg10+IGu9rDlAU4GG33US20s1eexCOvmChcKXQXxoHynZhkN3a6pMuE0rVV/Y01uSKdM
eVW4RVTGgeMPmlku1Hyqe1FV5jWMEdYeThL0ebANjlY9tf0H1BuoW/5aYwxdpnY0hk3VsG9e2Ay6
zJkTjSULAdu+uiKdHQQe7YbkcwOxM1lWrM9sp+k7FHmS+dwZGO2l08cmWaVN2SOvbLLqPuy0Rq40
ctvTcDhn41RpaDYOK+04WARZFN7EtThLtQi1B55BfNFhcR4nrd0tpDbopSzDJl39+q52YYDqVxN6
8sCZXJByf7zpFy8F642gNfJEX6nKF1+ygCPsWDGGVyNXdXfTdqW4zX2U/Pnrnx3ftZfvIux0gRbY
jEBPdOi/icmo1ouftc0usHIdqCvFB3SF4rC+Urp0JffDL7/+JZg+O78koDqIQTsDcKh88p7lyuqH
ogyzK56b1qZoszJZ+RXvsRPn4cIs6mRwidnzzI2I3ab/7aUZX4rtG4UXBZrgWHA8AzQnnP48rLtk
GKhUXrEitjdpVNubOBl1sIdUL2iZZU5vAvSrNila7BRxxh6qROh1K3rroqOkNF3SRlnsRkyln0mZ
Y+KFvO8fcqPJPdMYUubaIrPKU5vQoXZ+/fTGdsVT/dloNoCph+P5IM7cBsqkta1s2zcuUe2nG1lW
OnCQEVfKckjfq+CsDWX8PeAiv+iGIlzSzOqki1HDflRsGDK3DwPmWlnUPMiSsPvGzkN29mslLXsH
ZGIReIlGwhkyyTaDsOjl60RLLs0yrMhlZBW5L7hXiXBYdVVHxLJq6totu8L80KS9XTthGDK3RGql
cZmvEivHbpwU6cc8sdPOYUkbfG2jNFv3uqqc3C7yz1TH3PML5bt1FkXSkRWJWsePtLpqc0NfF8ZA
FkGAROQYg69SFzdhemrTKvmIo+Am6BXpnKRmxVXlF58qnBrEow2GByl7DLbBqofBMVseXSShzb/5
Zm2dhZSjiyHoGuG2Zmil0LW/l2uDl33qtD0fPNTahjdE3V2ui+q2Ng0WOm1asaWvi3pt+Rh/KkLU
xiufGUg6Qxj734HJLRtHqsL4q05Z6uW5xus4U/kaFSK5l01OYd6TNL6Vwu+Y0xRWcFb6Ze328BxW
yMLiumjTbmG1ZbFEqEPNIoFe94HbtAEv3AaH/iLVpPTqXFyHvhGYHkJZdQquBreuMiPq8Iolf3ap
GZ7jUuS3NqnsVS0iAy81TYcNp1m50GYXDcsm5sHS6Dpzg3XS/tBBntvugCuzdlSAm2DZVVEGk6Nt
F33Q1HxZZn7oJRVJTxV81YF902UGDzptmBPpKDJc5rfMYZndDY5VJb5LKkOlq5LGi8Cqe/NDS5AF
5x2XZuJE8CZVS1K1Qq86wroLGg9D4n+o26JKU6eXSa/K+9APMR6+6dboWBo6ogRTnt3hPo0qUsK5
ZXWdm1dVXKVxdyZkMawaUVf+Oi2lzJ0IJ9mtyQyyjnpCarcGDHynL0zRAVwp557yffCHVRK3xYLG
bWC6ZVIh/zosTMqy07hnbej1XSKqC6orAm9U62dIt24NvnBJjTDyrxuYOjRwC55zeOFIrNOlSmQp
nKQA5+UvukZS1/AhcrWd3jeVBUcn+GnqhqJu/WWbsCRdaB+igqWtgnRw+WCDxVQ4tmo3DUsjcRrd
B/pGSyNNF1kg+Q+jbpg0PTPD1UpavOZXtuEH/pkirGJ25KpOF0N/qoFbLMNFHoQsXfi6GYqlKLWS
yz6haX9qap3mro37RLqss/tkVcpCGi7Air8aeTogD/YCxKkH/5nGdRKZhoZHrtTXKE1FuialqJJF
HFb041BXhCwjI8PoPGxDzZTDQhxWK79scnULzpicRcGA42WdgwaLrEqCYcFRNwiXR33eXqa8h1fb
gKlSej5C9VlJbDvxAp8EtcdUA3BKpiE+UUNEhockhk6XHgcFUo/0aViskSmt00CymLo4jgviyUz6
3lD7se0YbZmLm8hvI8slsogGJ82jwTg3/cRaotwPbFBXsHyB+nDI1qFEbbCIhRW2zvg9BwkpFLw+
ASncrpXG4FSdNP4qoe9ZbzgS5hG+QoOSg3R4YxnkU5+0uL6iuegzT4miurRrBS4p0CwGAZESeFq+
DJH6NqBEhWdFnybdUrf2IM9RFVSfrAjbG7vzU9/hCF7eZa06RhaaDhKUr1GUegkpYu3y1l9IJItv
SdtCZBEFUXOrbdp+z8uQnDasDfwFj20TO4r7MI6dZFG3VGWDroYuJ9YHXdnoE6oM+EZLDc3dCvWs
WzQ4jeRp2WHcrhULNL6WBhNflFmML2cUFXrFEh3qm663Ku6aRQvYhK0CxTINRvccPJj4QrgJb3cK
VrL0YHtul60rLXx8E5V1HH/EXAlr3VlRW19WXTUGn2Hf3dixQbtF1qbw01k2DI3T4bQaVmbMxpsf
VW/BPoFeeYquLFvBXdSFDY8qjLN4cEXcwNTJkyCWH1TJYMqXNUQFAVwDm4orFV4XyOpL5ZA8NAHu
tuzqy9QIc+1Isy66ZQdNf8iibwo8Gg2YTC7cERiQTqAxTq5U+sWHoyrOeCMld3hox/Be9AHdtIqA
Gl0Z9R9J1Zn6PIAwNzrPchVHtxy8xUorE10VIii+QcU1LZzQCiU+y3gg6nM/zILG60tWtBDg9mSV
Y3isrsmK/i5OYvumq7WZnRZm38RfW5oG+jT1jfRHP4jRhsgiCT1YB3CykLgP9TKnqfhqmH66TNs8
KBxmgZnryzb8KLNKn4s0jmzPxiUOwOzBsbNOE2LxpYyMJlgkWME0GQyfiLWlMlQ8pGCQ+zNo/A1z
ox0t9iKyDXiiXTM0C3AybXGOyhpT1xdJ1YCnJY0JoXcR/VWKRnwyegjTzwZRlei+0qrXTooQa9ay
xTBUl6JwcK02oME6B1ha14gFXQ5Z01SXXc+S26jRhcOZPrXSrrFPh5YCOLGJ9LDKkzjLLhXtrAuj
Mq1sERYqbc6Dvs1Dl9s6DT9BJKLvTaHAjIDp1I0Th7rVjmgbXoAX6IvbJCiQ/BNlA+GNM0AE1n/O
K2IIGEz75SJkRhycGX7efg8D02jchGkar6Uw0YdOG/6wKutCy4UcanhJJa4ictPFyWBfpTRPEqfI
G5NeWii0OreH6EYv2jAH1FquZOCUA0vBdmidLFBHutJrEszL1cALePtjqwuY1/u9qV0/17T42to9
+hSFJbxr4OnEF3jXU32jhEJgYHEuoiVPQ9o6Xf0N87rlyInjhn22sSpar7WDyrq0/IQ3HwtfixKc
O7zRi1wSQBMWDn13IUkVZxeszENygzszoWu/ywTcV9cZwWVcGnnrpdoHmwHRWF1dJokP+pciDpY6
5HHotZ1prvvCgnnfU8qkY/khu3yMSp+5i5unIP9pAX6X5X0pg7Ca/PV/PmUp/O/fo8zf33mkKf7z
t0t5V2Y6+1H98lurh2ysjdHTL22NDL/+rN1IX2z9ZYdKeYUs+fig66R65eLrTMrfO55HpgH2RxMb
CrxeBPE7dMrPjqo/KbZtuReEikWxbcKxZ9DhiliwIv9JqCAKPYSBMoN0MyxNXhIqhEAfaThKHgw2
CDLoKP2SUAH7AtQpbArjECdAI+mft7qFJ5BIz3/fIlTGVpbbiyMClQ0Yw+1CnhRqIEbG4MUqloVF
qTqj6C87kudoiWKTs8uckdz/YQ6DsiFeq8wqyx0iTTacZjSOW+X4XdQuKLXijz4OW48rvz0tYcHU
O9Cs7S6AuMfNhL8pUXwb+3F608dx6BQDxUtiowDMpKkvM0p/hDmPvDjFqYOUlsuwrsmCaVkuKgph
bpMi+2Kodbo2VFIVDopj1bsd1aEbRUF5lZuIOI0UFxGt4nNBpfJ03vbL0ha5UxVx6iSpmbupQKVD
EySurKY/i215wbPKP09lEi9jQ8ROIAgGJ4Np4qSx3S87wUIPvAt2C9LFLopZ7hVdIpcFr5VnWsa3
hKLrnHbqjIX1J0RD0/NTCwIRSXM3EL1xVUb0rlVJ6hQZQ6vMjn4MUfQXa6VOHatB6br1mX+RW1H/
uUwr34Pl/WWgSbauw+ihgjjuGy5D88OQVNmyoUnhMZ1goGOysAB1lThvDB8taGsaZ1bemRc2EGor
GWLbCcqaXpSMfeBJEN2mKFm3Yf8JCBvlZJayVibPPjCaRo7wS+UCpUe9MIOwYYgZciyzRU7Xx8YF
CuvUYX0Z2t+aHDyGb5L4vPJ7VK2C1OjDxBnKkpbXIWDXQDgoL3uIkSAQDJAfFG4EI0HgKYzqOuei
MByMmWGv86rHnwxcJ3KNm3g4KxslrmXT54WTDTwLHAEPwb8Wfha4sCgXPxok4gucCQ9B4H5rNSXq
vIPYuP9t1mtsy/Mr6/VHArb4fjM1Xk9iP43XuCtt7PjyZGgIA+Px03jBFiborgpFNISA8UAYLj2z
wQT6P0G+HfYpW7DFCYhkuPSTDYZKeuibDXkf6PcF21oxfpPxGs9/3TJeNpxIBkccQUQECyY4dHJC
jPEuKETNw/o6klV+xhNhXYI1O+cqKVy7Lr/QNPWKqIpPVcaS4SHMdGF8qPseVqiDdGFxlHwQYa6c
Ku4/VIF1luk0WxaJlg4aemA1Y2SsZNJYjpWHyyBuwjUsnU03yH3LgeAmCF3RFGqZsjypb/sg/ybC
PnMMaDrsMFi/RG6OtXXWdMZwZueqC3235708q5PY67FvnFZG+QNm8wCEqumvepQBtYNisU7qoPmS
Q8b7HEsaX3KigLmQt3lNwnzB095c5ohLrykN02ONUF5GBuIlicQOpgKCHSTOY1ZWiyJArl3haml3
+RW3w8ZpSCaWTTJ0juFXsCAKFVjuVl8hrYVbqeJb2QYXPWoXodl7WONL0wrO26EKnSrKa0dCIOdE
nLttreuFAoSdwDeqBfxY8MNvM/pXP0SNvyzsInSA0YHFdqjRqSjrj2FMbnlkqnqd09CoPkikilPg
ZFxVhPS0sHutbmllitIJa581DmG+tSKobSLH9u0fsV+367GSaFWrOPaGVN30kb6iVn6mkvCqMPE5
r4xlptszI6VeNkCgVCjHjAbXlvl9q/BHWYlv/2c8HkOfMRP/28/AYif0eXnS49SC2OYo+8KC2GOR
NBEIQaPlkTt+YUHAQNjg66F/+lOM89OCQFN1k2DIUYBXgJTTeDTKfywIkO6Q6cJ0rL5l0BL0p5Yz
wh+gsXctCPDp0LUK0h7wZ0xqvQx/RMoGoRq7uU4aCcyfWxaZeZZ0yDpTAxClbkTTz30UYId1xgVX
QFxHdto4bQReUxmmg6roUxdU5zHvbhuzu+h9FDl5SIUDiwJY3ckBSLPqS5v2Vywla1tShyR+5hRc
X+ddd0bzmrpdWqzlkLROqjXQX4FwfCa6VUnID8KDym0fX2QZ9y6sIPCijI3CGbi1rKOIu1YCZKLQ
4bee+qGjE6tfiKpPPbPMP1m0rh2rNrAL6RmX5IPp9m3lWEHRuKXyvyYCeRWmvVtq7dmy/U7r2In8
IvXgcIO7ImLSbaj8k8IC3YG00pp0HFbrkjlAQ/1JA2vFWT64fkuWIS8Nh+j0FNPG9pqMn+oOjG8P
HhvYm+57n/nf06q7NscAxobUnDSFdFMrXsVxt+aQX1iiri0hyWRkDg/y+8C0bK9D6s8cgieHhA3x
/Lp6oD4ernTcb2Ru++e1LYEHtyEECQO6MBRHH7FmpWcBi+rKcb2d6U6s2jY+R3bRfOOiKYlTQ1Zz
CWy+O1hMLiyfZcukJ6abAKm64GFoQoQ1ZE6Nlb7sTd5BgNqUS57J3PMTo3creJudUsfhwpDA9Pam
9BfK1PJcmlmy4qKtbrHdDF/aoQm9zAR2JNaJednTlC2HNo6/ZWWDzyRj9M9Gp+lHXaLiJqRYrjkq
u4tC+MRr+iQ7A/airB3DsqILv1X5SN51F3U5JNgZUtP/3nFpcFhtGsVaYfNDnAm0CMM2/2z28OBX
PkS0fxmRCH5YPKkX6Wis26qvFzHY7z7FkBQdTXozGnddAi0G1r7qB3jq7aIAL6DBG0AkL1yjqK/K
0VH4o8tgZtM59ehG2OhQLPAs1uhiitSEBM/odMD7AOsbOPHokNTomujopAYrRl42Oi42urDs0Zth
ecue3Bs4umx0efHo/ARwx2sKLSydcHSNBgcnqcFbdqPbBGrR60ZH+n/G/NGY25DRe92YP+393jXj
o9QLMw7p9rH+g0Du/THB/7cZJ9CdmcIRVpDif17g/iwLgI6ANrSx4BaHiE/ASYT/MeNwtii0wBgz
wJA+B/qev8WMg/GZmnHITEJ3hXFvLubgTUYz/2IVqxI4BDMBNa4bEcbaiwj5HNjmaaSUAdFWsECV
BWGA0fSO39Trru2Rk6WYLlAjziobCO2cELQMov4TN7JiVUdp4igkEyej6SKq87sAdwg5Q1V3/orS
rDY8YtRfNB+sj5ApaVe0pP5FaPV0HXXMowUmbs6a8hKyqrVjBzhcdgx9r3z9wwQzdpq36qrEEZIu
zXS8kF39sUfdB9ZE9EORp4kbxC33zETVTskprGOFKp2ghmVtL3LhpKAV7+JlFNTGKYqYv4hSsMq8
lvdI4a72dONLp1JRc0q1HzhBPvhORYD+jX2Frn0cZcBcQbVCFQp1ylCCnBx+fpCJckpmIvgVWToD
EdwpCdB3grSXCfOvoyw86xQ+rcq0gOHxpgKK/JwGPlRhVA2UD/jRx8zWbkwzWKCallNSErkyLfrV
EEIGr6zLBa+L0C1D6i9MbnzOB30LKadToIn52i6Gm7KNew/okq+kYHdZmV0VEEJAQBueQVhwY1f+
p6BRkdOCr2hgfVjm1tqsxaUN4TiEqwZ1kbIY8JXZn1GbnFElv3VRpd1eGD+6gIduXYklhPR/2Uo8
5IpBVgPoYTdSFXcUhcfSJAS4jjAIL6QECiIGxvEvrLIb3kdfYpNB5jKFfHeioKDBAFO/SDMFbl7r
r7TR3zjt3MzC2SIOZO30gQyBJC++ZETEy9RMbKfjNPAgNfgpA+iTBDfElY1ZLdSAGpcmRuZCFu8m
10AcmKyNFuVQ31l59WcTxvdpoKylT9B97sfRMuzC6kz5QA8aUL0RKNYsaUd8dyg0JFbgdV3Vpikd
07dS8MCosL3cImujFmIV8DRyCc9gImT8Rw+hjBXr7yRvIfsH2cUFinTs1VT/AJ9DQds+dWHu5y5Q
7MlSDsyhoS+AdxbCLSTMESAuIYOWhQOklQqXQPYS0rvNKmiogDR/d00a/xTb6ibs1DWN+dowJHCo
awgP/PZSwJjaqm7zoq1c2rObOKVfmUivY1UkTkui3vOjbhUjBBkQCUclV3+yBPiWrKtKJ4tysdBM
lMA2VQJWKGqZxfklxvVKG+lnHdTruAguqjRPTxHWLpD2NzhpTq26jR3WCnjbu+46TfBwBmmUb6GW
VzaF9SA1W7aOCnaBRXoFS8tVYpAKyOMeu1kcDw6llfSCEHEX6A65riN5gWt5gdL8W4Kg2Ii3unYo
8j9bzP7/7J3ZdqTG1q2fCA96gsufJlulpJRUUkk3DLXR0AQQQQDx9Gdm1bZdx7sZw/e+LKtUzgZW
rDXnNxdP06hu/LYOt/BO0mIRXpxHDM3N2OkVfUtSZ84EUSVsO9i9dsmdtb2b4+rJVnh9Qz8pdJEB
Sg9+j8LDyqhuil7U+8qOnwOcmdK3TZ8Nqb9zqbQ5W+M6S/Gx5kazJ78KznoOKOS7aS2NUGFRmzHe
1YP7BXjzGHJ+xUETZEvTBrish8Jt+bONg4eqwvc+VjKBG9M4WS28u4ikz14l2owG3dl3lhljMvmK
02mrrbNmA/yv0lfmPLJpW3X+g2Hq5BoHel9PDiB/BvS17bkZumJJuHNgc/ONRxqKmkYjvJLS0GaF
7+dHuRiaJo+7uS6bcJGFddnJdrODQVAuhTM2X9RWD0NPg2z1/BpvjvXbhYmPsY9uqPQw9pHZFmHi
+3kHnu04U8fuNOk3yZzQzA72DMdvLh2j+7xO6f0S8HLynV1a9cc0bc0m7McD8DiGU4DBeR7adRvM
8ZQ3sYw2Vbt+b0d3o6n7OqiFbxefTfAJzXU8td/Q+13ZROJXfXSXJtyMgpboiI+8H3dCVXpncRHl
s415FoXudk28d+v1p4iiZi9pUMaCoYcaP7XgMO2GV7vQMuG4O9U65dgD+CxJV1Q1qbMF1mRVu7tE
o5pSvQkNLgIX9SjASZHwhhRR3TUwzpKHfuInG0aftUah5EEsS9Mk8K/XJdOWn7xgHrNFpTdjaunW
D+fHBtdtRppQ4EYZGbgIJ8ONdh4jYzALWLl1V/qKs3MsJWfoUqF8lBCL4htCHLJ18Nyl7ajG77z2
7qNuanJp029eop9FzWAXoi5kSuPSaJLeQwXxNtYnb0FFMPak4wav720Ug4SlKj9UZZssFZ4pOhbY
axh9UVH1wy3OvNMc4mcwoY46Bc6jzYgpx5Fl2k4fVVz3qKLDR8C6GyFSWDtOVefaVCevjzEX0ZVt
Upmagi46BAszQdPUqGAVia5Z4uIu63mXocdHq0p3wEcYtOm3wMGYNTvd/Sot23JHvEAefo/mJA9Y
226rqt6ij8B3UJl7L+q9fDBDcrBOAvGT4SjuwhrOVpjkHBpTHjueukltWNC1/ardWuaknW+WpGoy
5dArN+Btnur+izgdLaG6Pc/S8UpnaCH0dvFrzaIo66nzHRBYdR5Jd0I1h/97Cg3bMh5GTt5MjOxd
XafDtWwayeJs5C6lmeCDsSWeDz6wq3/66J+iyP/so/+vweXw+e99tPtLHw1GGnslgku/jOeyQzj9
RQ7BU04SMLdR9BOihXr7pxySAlfAY9yDCB3uj+72dzmE/Bb4MaJPeEgZvJuLh/Q35BCE4/7aRxMo
LmAZQWbhdXqXB+v82kfTEU2HCEhz43jDM+UaLvnUvHlrtG88nE8ixhQ2TmUSoT8xmGYDepWuw/VM
WpAFM2SMlg9tNlEnH5PJ36AH37gyuJ+58UuSyCk3dL1y4XfEDiwl7ulHTvw+b7zmikUDjixn3DW1
em3jhWaTF35UPld577Q0p9FyXIj5qCfcoqSGOolqU8Yr2k5v7XAlT05TjG20FDBkdZ5MKYrl6sa5
lt266SRO/jWKCp82x2mJcHBQ/T0AXlfAKf+QbnyASnSxebo+o0bVWYvDJWKgEbskvbWp92Qqi7uG
8Br4nTOjcGn8MRY8t7T3s7alVZZU+wBleE1klQ3oHDN/Xh4toyeddMceZwvDe8rkiua69f27mdeF
obQt684/VZ7/UK2NhjgL5wVbI8HWKgN8r3ZIFobBrg1WjtrUP5FodPIY5XeieWQGTu+1L/oXACKP
qw3no75oS4FW28abQYEN48tCQQF09bbt5xh6UCSzcIZQPQXoH1lFToz6j8GgII3w+cbBI5fKup5s
4UeWljYFgEHH1Nk6croLHPYRQcDaAkbJPSAmRxm/6uUVHA7OzPhVrYHcTqO7bSb0oWOPbvkx9Vh3
37hNX39yaj/mhd3ZAE1vMvUSHTbOAgKnUFxXuL5RqTp3t2hf3vhjld6EbaUOa1rlYQq5eU5izB6r
yFzm8pyF6XodCAvvm8t23gLje5q7uUh4y07BIj9h7eM8lDQdMIgQZrN/6tzPOodB/b/rBf/Xvn7I
8T/UOfzWH3rBj2IW+hEe/IJHpXpYaviHXoBtxX4SxpfHwfz/vhH5DdupXQT9fiq7v6YIsN7aw0Ye
ENA/xeLk75Q51Nm/lrmL5usC30ZYJcGTXPHyfi1zso8sfN5K3bhN8FBLde+r6NiG6lwvPWZLE7ID
dTHpeeFOrKso2rquNpWJ51wvU5W5A/zKZJ2nAnDanRtadN093NM51HGmrHfW7gAEPcW/1aERLBvR
e/uUjj6U4eZ+TDC/2k6SzJPLyRlcmbWd6NEQGid3lqgqEp2Isrl0XKOeh2u3ax/woLTolBjbXQnf
15AloN7RCreY3yTbUMHzIUbOeczQYtixe2AdgSHktOiARrUfejStRNNS1SDYkrD9BOf8CEbUyRo/
2snAuXdsjT5sUCd7wcFsRN+ALIhsiCaow3Iuu3EvvCuPBh+GvY5BrlO6k7KixWwmMN92Qp+41k3R
NUtd+Fb1Zb+K19mizGNS+5j0fPB0P2epizc0mmqvRnK7OgkUja507NWkvcMSkpdIxHvpijBL18gt
0iS6Gul4y9tlgW9OoDMs3k0dj01G3an0iIuvJEhUpilV+2QM3Qzk551P5/CcOux98buz6gjAryZo
0HExb+MP0s9UYjw0mTjK+krqsqlHgY4a3vfokiufs/068TCLRlYI0t0ttULJsZNXDgFQdcyBKwo0
GOIY7WVJB23uqXaDvPLSJ+pIkUEq3g6uOKg6eQhT++o5tNu2a50BpSiFYWkhfVZnPdjRrA/73ewa
P4/1cAg8vBc7Dts0wIxeV17n3vah7u5JNeB/jI68r+WNDcd3LmcJD925xQX+mkouM4wZ3YHV3vdx
MKcR7GvhkBBhjjn4XObpE3DGulF6waioSLUDjvrW4hbNJF5KXsNm3PB5uo98qo4tcQ9GiOfepkc7
eFDOJNvK2bka1rXPlEsuo08FCa2u5gzWwbUWFrePeWC0ehtYQnZdAABYOO19ZQOWLf70NAQJZnFN
dySSB9h4kNYgiG+I6vYxjb4BdmAHo7sYg6a9x785Xw2wZcADSllqGo/5D/bTjIB4vfTy5S3Bmrtx
FRdeFT4pKcbcWLgdSnXdQfnTki9OkmRs5UPWqEbndlHyO3UruusYG29FHKWQF4Zi6VZvQ6b2kfhW
YLiGUmeElylfcnxBfVdWjZiA/tUcd7v294pjtJMiZsXoT3vXEnc/ELZPvKrZYuQPsyEO1gxlEYIB
kDEltM3k0O1CPeyEExdCWg00W8McbhxIilGoc6ChS7aGLCnAPxQ6xAALILRwwuhWwA2SynzzFnGM
xukgg/U6Dcd7k5gJulO7ZRhqsq6tbNbV3rVZpm9cgvVoVnbbhtO5pvMjqZeTau13VcERqRFNylop
HoHvH8LF3a1KPWgSu9kwdW7mShlkabNc1WooE3eUm3YlKvPH5VSNwRkATlMus1cmfn/wp6nLVjV9
hVH1wql3g4zENSIdt3CO0KMZ9VZVEbyC2n5vGLqLcCCkBL/6otoEwtWKQUr7/YNk4XFx+stEiqsG
GZ61fgwmEe14GHfBFsl+vwSickgjLv+BP36iay44rv9+hCNpManX/3CE47f+OMIRvcZ+Ow+6/78U
+j+PcCw9xToFgke6RdiCB4rjj1ElxXNZkR5EFD+NyGVb5p+SP/ntMlgAGgGw+fed2x+S/q+ppAh7
8D08ExIcyWW5w+WJJb+e4ZA+KCjmKrypbZ+sexvLNngzLNDVDQjZoG1PDhIZO1IlTe5M7H4NaZjV
cdgXnT/BuK0gvyCwVJdTqsNCRa27c+daFGQJxnwy8tVbLc3hML5CUl2KNkCibVTxsWmBNw2VuBUD
sFBa6bJvVZgZAjSVrNbd8TRWBaaUCnJeDavYaU3JRoh2LNbHqYN87yX8yXjxmQfdNm5aqJdL0Rm7
5QMGLuO2LoqgPFvcuTKWexWqKOONBHUPwSRPActmfLSvqRjPcTy4uwlOBm5Z/9Z3dXOaQis34NG7
wq8aiSjI8BVU9HUSGIpaJyn1+jlDYiugZ5TGCWjRtN1p8cOnvqMo7mTud6FCAGgMZmhjvceyQGIC
sQQqq2eWY2C5KP3Rfk6k2kzSHL103noJUJJeblWgyhGJFVgbBqGPvs5HE3zqFPmkGRUqdTPfBlfd
ancWigkGxQq0R6Jz0/IHMjUdGJZ+1yJKuEjx0KROoXV37kf3yJwpBwALjDpqzwZf6dSGiL4tfOy2
2vHIhsT9wYvat04xHPRg61yTXiHU0MEgr7r4gGl8PHuL21cvYmyoXwK2o93ZsXrtt63XrWgoavc7
6JVUZrGp3/0o2CxsnEEaT+/w1zeJn9J8Jvgxn+bPIfRULuAuZ61Zdnpl12FXkdKZl3UzaPY1O/GI
aXF9jt30Qdvl7BnvBdG3gyvtMzcizeNIAXak4Qf3l8Ps0vWlYUONZFaPsFkANM8g6BS5ODWi8Qzi
e5eMxLlCBOth5XhbQI7QAlJyUy0KLBOzqMJRMTFdw1+PUxCUq7uzyZcnZIj8gn40GvB624d+0SBM
UQN63EYORzYKKbPegx4Nlzt3JHun9WAhG612Q2b0pWKFIOioZz7LncRtk3ekWzKESbI+URaHMyZm
D6D2MocVWhTndq2c74BGwTYEXiF88S2qGEUUxU/QnOFoRLYN6PWuSeoETY88dDBvMoagzDSQKGNx
/aUYsME2fDWquoobHMv1Kq7RrBx7gABZLNNjh1RP5geBAWkIe4hxlglt5u2wgNjWLPAyP8U6mpo8
Q4ot2ybau4o+B3XQ31snZpArIUCi9/2WOOx+QaftpvP3gYV837N0b5fhWFHSHyupvsew/JADvXfi
eM8CcuOk6szc+LMP7XXbjrta4tq0MYzz3uumAqG4O2PktkaOgE58OwqWlvUCLR93T/yijNozX0x3
FTEMObZm0y7zMdZwAf+ZTn9Mp8H/PNqwGg1b68fudfzAIw///Yi7/PbvR9yPsDs2B13OD3DH0S9T
Kh60AjubwBu4uNTIovx5xEX4CehGRDTxYMMfBNIfcFLwGwG0fZHj8LziBA+n/jtjKhKqfxlTEbYF
l43JDnili5Tx5ee/uNrpEjk9nsPGrh3En4rItLokdg32sVmHF5AsyFHqQY+AmzFIJfCMLXS5ah6U
ALNUizK1sXGvu9EPiw5myeJCuHfNeZmJXF+hRHmYb+iC2c2H/WOEj9EgQIp/gf9qqyEDEDzYPSz8
kaqt7p2G3RONE2qEC4vJ1kncOLPUiodWNuZbqKnw8wbC3D2MMWQVfCHYpu+b0iKLpnYr433WRFPy
2HnGgTuK+/Wxb1Pch0HUQwoPYYLiqAbrlOM2JbdBbfrnoB3EsxP10Q5PpIPg5pmmukFjQEnWEPgj
VoHJztH9QiEkPK7yVPr7jrpt3gZiOiFS2l4ncWfucEayEpkoP8Tp0Jnd5FRRPjUDgbvbLog06VTa
zACeRoCW8CjJhdckdzha4KlZ3fJdMyb2vfURfGU0BKyYr+4Qjf5mSiPRV1kYTLXcExPobTTiC4HL
sjjmWfPR88raVKYMhTexrhQpq2xcWh+pHky/c2BtukspwV9b+5FuE1fbsxqNeAnSTp3TRCUbAeAc
cUcVsgcEja7TQPXzrXTwad52DjVuSRFbanNayWlAeUHQ+YZwXzzXjfIflnQCUJrFUw1to3N5s3OD
TgPiIn0l9nCaxHJoEx7On/FM6CeU5mSLtGG1aTiTQ8ZTH9aTo9asdcakqAlX31Fg+xGhYQfHGMaZ
fyrXj8rloUf97035HlnGf69Xl9/5o15Fv4GbjgHOYNtZ4IagYH5X1fDw7AR7WfB4bTfAw1gvMY7f
3QMw1zGadChE8BBSEuJHv7sHEfp4lJd/iXQR5P6/4x7Ef5XV0Mogfo3XgP2JQRD9dSNCwJreoybR
120ds42UDS8W2YYEbuvPi53/vPRDZlzcCLWp5zLytO+VMvDXboZez4PmOBA+rDdiJtjPCqZljkZI
/Es8TFkbIfOGZrNrQayEYcNxEjuVMH6B9K/sXuwYT+FtMk3p2BWJ2xsMllE0qyX3nEGo18TqETl1
HVeJcvNlGU2qUFLYuBWqT0/IJLM9XcY4G+Y5/DZINMAEgMMwSURcwxrJS2+YzRHyxbrxCe+uk6ae
7tD8zG8uVgz0eyMYfTPhuGwa5bZXUFUkHGxZXQsnCjfGEWwHBrWtQQgE6xnbdKCDTXI+1V0yX3vC
6GKs+i85E3VRTfzxlXD4H40OkcRjVeTvWST0gz8PbY5PMHontkm3hjXzFUVxrKTlQBXC4I5YF2N6
gERiM7lLiGSoWrJIa2ePR4+t16M7ik09CQXN3uvR9SsESLPAwwBljd4NlYuey8PZU6Qp818C29tb
Zq3ostqf/DdsVImOyOLR/VoL9T1AI1t4vu/fYrihhSXtdDNN9Ts+0m4/YKPLvae42+TCdckpnHma
RVBFr1f0+bA9IzAXXKltmjZjKWxKru3Ao107dCJPVwxHLKDrexgvzVU0V+pxauW0UanowANy/wRu
qwGQwVS9gU2ATnQZ4rOHnmyDNIq6DXjQF3py5REP3zFHpeoDuAZbrjCpAamvy9ccsmZH+pYeFslD
vDaROCdexe6h5aqRuVyRLdQaoZphJd22p5O3DWdcRUs0aqTc/bQ6NKMTP06p8yRd5l/5KKw3ePnV
xqnb8KSkH25wSrs3q2XLoUFTvae8M6V0tDiFql/v2EjmwqhLdpRPS0mNrQCvK0WLfyrrj8rq/s/K
mk1a/ydj9pfSiqQLnlN92eh9Ac/9+JdWEEkX9+IT4BmMCfSLy4Ne/gQc4VWAG0dK73eE/ffSetlI
+COeEqEO/ijIf6O0gpb/SyuIZhOIOjArrKXGk9Uvr+/XVtD0i8LuAhbcqCV0oWWa/byGQ+GBdIS3
NWxQQIEK6vUpwYBdKBq+jwG50pDSiugSTxYLwhR6BCcxSzfr3A7qiDtmxPZTsShzjaKnijAdcb3L
6W1Nu2fGaYnM/F0dim236oMf+HdDD0tDDCuA895XoPL8qw6JuYw6yTdVpzJv0hZ4y1x9Azz/FGEr
AuRlIE3x0t5ENLjx5rhMB3lImmFfRzbYW1NBbKl9khu2bNHAlj7pv5C2uZtmGh06Wm0RW30jfAXi
bh8X5HNQglo/CxA5y2IwUwWSirm7wFpOevY4e9NLvZgwZzXb+ZPssh48eNayYAQcoruc98F13Q6H
pg5BqY3j12AYEm+OhEDckBvejjBi6HAjItMfllYj7cthciStrBFoHiG/uLS6VrF0CyjsFidFaL8I
smzXJkzeLceH21ctO/vIEmdMjZ8MiZaTkM0+Sh1onn6/blmnyI3iS1smyYxvbWIAJVG/8xqjIPYL
dCyDAh1vwc2jaxsRxQ6XhJ5dGnhb2wuaDRSHUttdqK55hhzRBmBD1kbsgmBpAKVzfyvYZSeQxYab
eEECHaouguyVV3jLCm82RNYyhBSyCeegKRFA9LdaBm3ZBeIKqZyj1QL8nbfXK7UFb8lXZUWciaQN
S0fxoFinVZRelaxbwNpN6QpG8EF4K2JAQ7rVAuy3WMZpm4IGg5E+YskPNijcwb8l26mPWImHmQqQ
SlVVGACXmQoC54yAZpi1Fu90WOI447Ebbwh1NASImSD5SPvSwV4GBK1rfojgEGyB1T6svrqdJrcr
mUNWUKj9m2yQouAsxi6QIQ0PfQrlmXqXXVb28hFxv3uZVSS+dVhCkakLALteUFh/oeA6L3hshDhC
xi7ILMfnngWjM+3IDJeZzSE8vwSUbX3Bbd0LeGuQhty5WmymqCmrqoOpgDh61l6AXXDPbQYPBnQU
uplivIC98QXxtYBtxTLdxXNbl+oHB9z4zTXW2OgdNh186c6+afQlG917E+DfZjxxpNbzYImLZhzi
fbzOUEacxGxJ1YV3PlhknkrtAKW7EMrsB63MwS3PeFWJdWrsfRBAiggbtg5fHzxn9qBu0TiHTHbo
Lij0fIGiU9DRkI5XSDswNbFCpOQXhNoJIWsGwTcDNyNH7O0BU9khEd3tnKjccZKTil6qxD9OMjbf
4QJ+zrG+WkLHyToY+wWZp/lqwsqSXZpqAfESDAWt3Ssf/zcGdsuY8GvAiJt7tjm5M/hjkyaPloDo
4sIScBDth0qwtQlLXfZSrGcswruCMouNQpdcSNcSyC3cwxYLwxAaWeWCVDDMnxF/vVPgSxIVRJt1
xVfoDe3N5ND7ZqleXDk99yHKA0GnWCT1eOSz97rUcQyfNMBCICXpxsNx74G/HOpwvPCTsE+tByBb
mRO00qcJ66WLxAlv0yUhYMqTbo/0Ev6mdgWMj8bkvZbHSbg7LAPochNWG+HK4YYjo5MJLHzJnCUt
9DJ+KvBqWWR4gX088TPSbm1Uym45db5+l2Gy76boO3YARHveepkY7Rs2F2E/j1x2eNPNhvmIAbWe
LZo4uWYCVSaVSN2OM/hGRGqM9HbOEO/WeYAkx7Hlic9nbOK7anwF45I3b5qku6QLrj3ab51w2FLs
5cF3mi+Nhz9HrwytaK749KV4cotFXxpM47rXFxl2ukjsYX3GLhUHZwEoyWA9Mt2cWyi4HmcPDRRd
FoM0v0i8E7TehusciyzGrKtUkrXQgyvsiuIN8shoVBX0Ypj6n9UEWRbnmLNuFfEVgQ0MrJXG3Z3L
x/EfvexfWwzQsPz3qfP0+vE5/gcryMNv/TF3pkA2fCwKgA6V/pC1/pg7fRdAG0ygX/qmP+dOLEZE
YAebDMjPzY9/zJ3xb5DOIJSh0Qp+PCDv78ydeGriX5sjJEyguaEDQVYQyyn/0hw5rrcqX3v0pkrb
TbJit5VGtwQLdLwOdPMEgirrF50Wlq+HBO3/tmvpqZHTDhsgPkPHDPmcRpgzZmwtSJoj9nBUmU3F
qcOcWniOc+44B40lCRaItM0jkmuopzxNy5D3796ENJIm07UGjmU88wxHB6J7XUb+pdZR9hKnTeFg
u9gjDGN311X1kbZzhU1ekSnwsuVmmvi1xO4pHFP+89QkXTHwELdBEKoCPkKILWHVl5nVZ9BEkNww
yZQE6HuOzST3smbnhXav1p0fnRXIfBpTk8uI27J2okOElZjFhLxt1iObDO5BvpFIvLNkvG6xBDQb
Z7xFkL44hnrv1mmQb2zoSfb2KCQ3WzGivCnu30ZC3LqXHXAA/hFIJHoBCh2SLfw0ZIrV/F4pgUHV
mzjaJNJsLIvWonHFgzHrLZ8sXCQXGxxU0CRXc5veq7Yq2tYDnDGPULfCtnBSe2RNemB6OfaSuTkW
gynsODN76qHrpBKoSExwRssJi8EcrkiRMtei75Q4V2Q0lROwGWSzdXBA8E1s0nr5QOJnPVC0eLnb
uUhetIJsg5k42NgVXMWDtx9CQOHrVFXn1elkxgbEQ1bquvDT2hS1DIvFuqljZxk7WzmCgeMJooPD
y+r2dqsozvemZ+2mpgkHLhxukm4csLnOrLu4q0BJDBZNXpdkWB/zjoV+bY6lkoCenbAtm25ZCtgV
L00yg4EY+xOv+xW9e4DgNeEbwbulcLH5h1ceim0Xq4PvD3d1heUUiW+WQiwRLsgpia5dBT5wxM62
nE72HfhdgL53QgbVCQEA1l2aTwD5d1z4prArOaGRS2F0xp9jb2Q5ph72qaI5DjQu5SgUS0ENbzY9
XQmEk/ge2PWLSepLkgetgSJJs9NqadAJzPcOMKo9lkq9Y0dnh96nAsFBO2SXJoPLOE1usY9tQXPY
hDunjZ5T4b+Bct4mzqJLf1Enp3UAXDpkAJKIiCAbMHyEK778ZEiKTqXx2V2tDg+exbMeTIaLl5fL
COU7mD/BODwtFPe8X2P3ZYM2MMNirc0a6OA2mdtn5FdUURG0eZXSE1im9XGhMWIm1TyWWC8GFSat
Cyn1mte1fEIiZsYOS+wA4xgcqhGUJuD/+AieZkBgl4lsjboHK6ubMe6vpiVVBSaML66Hez9giGCS
oyHY2aHF0QIN9+v2wBx2cgUMMokQcRY2U4jFeeGdiz6p8PDvbobFO5KgnnMsYtnLBL4kVsE9z4Cr
1BweXcf9irEPEYHXS2kKS4nowUE666sP/DMbPB1lwwJJnq8mPnCrN1iJsFQTcphaP3WI+Up0eTCq
cuaM8j5AaP9RLsv8vGAQwfzkKjOiIybRC61ldNAKa45uG9pQsteDE75UNPark4g40NG01sWUVk/Y
rxSX0YKRDYs+0PLietmFsjblLGyTz7juygjJ5gxX4fMUTjuL9S4Xt33HYCqAEYNhPXOKrIuszsTa
m6WDMW1btJsObW+bmNbfJqzNKdseWemxbvxyouILZPJ5jGGpOTM6Oa76XYM+EzNfchek+qNdzeMQ
SbvBXYyWeHy06YSFM669TUN+nOo1yvveffUW1HHZzRAX2ztvht2gEcnbDY3Dca1VN9h26+erxmjp
ULFgRePs1ftO+gaFq3tNpMHk4k9jnsRIzdTizSczqsHytiT+phvARlkSbasQqy5pY5AwcuoHd4EL
LUEQAnwCHQeTH56gY8gN9SK+Mav4igN2sK3eV12A5rLhpdeGXuYRKESNGYIsaef71sKVYRWqH3pa
uungj2TrqlssYOSllotF0rrdYh2Yl7eznDMkh++4iFJMC8nVJSshFYBZqJqIeBEHWzX965B5iHlT
ZxONo8qxjPgRqb1b2Q7XoCq6HET0kyDmXcwxFrsuzXHuF7SRiz5WvX2KBnTlPb9ZI7gOvo4PfQWY
ZxL9Buu69r0iL25A+DYAfIuIg/SyqfWuOohxeYS9GmCICqT67pO0DjLPDz8RDx43s0WxDYg+ihYL
k1usGcRfXDZYMnMINQGKwYHM8THZp3CxMiwDAcpks9rh92iLX4cp2fsD/pter4x0HusAX7VLBng+
UqPcmE3r0U+RprsI4Jx08NOqJ1/aiI9eecfWZ9t/tLafWhu80P/eT2LJ+P9j77x2JDfSrfsq5wUo
BIMMmtv0vrK8uSG6qqvpvefTn8WWmW5JMwcC/psfmAsJkNSlqspkRnxm77W/dFSU9V9XGfMS9feS
kroRa4nL2Ax0M3+jpPt9lcF/IlgTDbCrW2iBZw/C7yWl8wsgLaZtlgsM8GcjBPvaeTSG4ghz6Iyd
+SclJRXqX0pKZEouIwZQNtJ17bnk/GH1mvkOg4nOyW+ESPwdMp9twCVFM9IfW7sbwZ/I+jS0MucZ
n9CoDe01izhnjSx9r3CArliYcUQFau0a1bj0e8tYRGZQLhn2TCgje7kKGgdLVWlNK0Qj6bX03edA
TcgY4T4sBzEdoUmeKmXunNxlhKMFW06YZ48SCJOnc56qEQk9B+8OGtrBTyMWtqY6TE5IHWnaZ0ua
eKDx9zehc+v2drzKqhBlcvUFmzfqEuU/dakqFj1wZ3Cmdrfk43S2Mvt58KBegvR4cZP82Rq6oxvr
p95OHjSVnhsEQksAh49Z5dG86oBqvf5o44POsmij+9qrDIelX/obRNA2bpHiVNj5C6v2C/6oaBGo
YdsNVOc8FNiHkRZmQ4Iew27WoUWZCJMnWRnVYEFyLce142TtuqOIxJ+V3lQolziVjV0eAMNC1Xrp
E2SQ/tTrW6ASm4hjb4i7CNyFni01OV0Nz/qQTfEQt+Omd2jcDT+7Dqa1GYN0H8q0wZJYX63WfgxK
z18X5vhihRg3wl4VK6bCeLUyDGBGONboxmxGqNNtNWT2Rg+Sw6Ann8GEFdpp5KMVVDqQR+kt0afc
RJ0tL4ln7wbHvy85bPcWCmkAyUdrBCvCAm0T2h0+jBKgYTNF68ZoOgCHzktgMT1ry0wukjzc4rph
6ZLmH7Ft5auowfvAKbdJHHCFggFtM+64+yPsJ9F7VRmfdEmfTHj9nV+alxn1OHSlD567w8Y+JuaT
oWKotqPDTeOFYF7KQ6qsfaJ0+KnBpnJ85LWgddfjAP1M+ta4db67NDLVNuu+027Dov/qTnFfLZUA
cCTQKk+lWS9s1MumVoJMQ8/sWrNGVs4qAcd2VrSPOzlLoPNq+AL09QFQBuuOdC1mmBKPLs+R+5wb
uKEpwLt7RonlOnT9YR3bLbAmD9q1PsuvUZTBAlHJndsBr8fbOjs/95lrnbyu1oG3IeOGesbnwgZ4
4SC73xiz3Bvyi9jQ3CRLAT3yOKIK91CHG7NMvEEv7szC8QGUL1cXv0vQ9NAxJ1S/JjplX0w3ec4n
JZpF6BCYrh6q9CAVYlXMQnULxXqSWW8NCvY6vw1Ns1hUiNsdJ/X2g5VfBg+0S4cA3pX5V7OezbpI
41MzLdZ2jNVaG7R4VcwK+l7NvoFS+atg0rYInKPpTc6S++oURfsaGX6YlyPqQx6DLvW+jLNWX47l
2ZvV+xky/qEwd1hWNWafwZPmx59xy0cGAzvPNiaA2i336ewKgHgHZCRJHkCCf3Nn64A/8NzRnm3N
HKuhCQl9oRXs9ju/zE6aHNRZx4egYea/DB2IXSDY0dp2J281zMYFWijM6xVmhqDvzl0VOzSbGB0S
N7wPKp5mZfr6vkrwtpoe7zjgXfD143Sbe4WFj5jrvE67aVngqDDKqmVizAcrmEpvoc3GC5hPHuVS
E63ysjF3QFoY8weHGPoCPqbyNjWNY4KTQ3jiwZuFwrrsDjg55Rp9xRAu6ryqIpA7evUSuwjO1laN
339Zt9GxbTsgUU1npBINvEfbEoV4+V0/MP/rjPx1xmT8x5rgV00WUa1/o2+Yv/KHooCAD3hRSCkp
NeYl2B9FgY70AV4vol+Khp/0DdYvDJkgWMpZyfWdUff7Dg6+Jss5/pWlo6Oa9V3/ZAdn/wUy4kql
M7VS0pyNS+7833+oCeoW/yAgau2C/TFaJvm+C/E/ZImV4RKH0xjb406jE19GQXqLetpddmHFBVuC
Eh6bfJVEzX6qqLqLqOXkBCOCP3CE/Viy/WUF/g6W/ol24q0Q5Xls2Y6R5HFiaVCtTWp6rwBq4laI
VdNoBQTgbpARmLvS+LCASXS2hcHZELeuwIrfO57CEFI9i8H+xnU3bKK+uE/RYtp6qq8nOM0MB+wJ
KFD5YrYsAUO9oEnRepgiBTZI9udZGbfkJFRY/SCkmx6GxLqlpZ2gWK4w4mM06lWkrbzBfCuSThtv
I1i/3QZ6Vg9LIK+b/KEtI1EMC103/RUrQ7aBvQu7ruL4qsd0zcwavMBorDuV9ZTy0bWNxmbh4llP
cweRr4i+Nrb96eF8ZuKGOtRoLmjNZI1x0BshTPYuEydtzO/tQY8XeirfoqTWsNFXkjsMEXKNQtny
6vpQiuy9lEFUYVEKcrGmEYFEaqWmvC1jHwtFYKtVP9KxBd2v9049cFcOwnzJzPyJhU9+U0xDfhJZ
OC4hda8xht4YfrHPkvxS6/U2rYJN4toHLFwviHX0YhEb4z5nFNVmptjjloRTxe+9/o4W9aAbLUQy
GUt+nmfHb8IDSwuOaV6+haN72szVSm88RzwkTkL7UrC+oPU5mmmIxhdjWPgU15pkf5dYrCz0nppQ
jreinuKFsGrm/EnurKtC3PvdeOvBecVZZNxQZ5JIIHdlbd2iddh7ybSNu5YTdapXXePjBUlvBrfb
ykGOi1h0SxPgWd0XiyBSpDKkLHbt/AEFB1wt5ynVcMW6Vb0bWv+hyKZT1Yf3Vdq+hI2+0wcHEXQS
FEsLqdzMsdgOHQ08aUISIM54srJcHHnLOcPb6DMa0NFX/Gza6Ks1gAa145JfDJO9NSb1JisY+5lA
39sm58n37lJVFvtRNf7J0Mx7VNnvmVYT3vBQteBC3NK99YNoVbCDzApYo5bO6DbqceBEWxizFE4R
TjrDOBMH+pa2Pn25bW2KZrQXRlmsgsIP5/HXxBPaf3E9Hb5B2q8ma7rg17oBWPMsZX/Maw2o1ew6
VjBUhLUSXnQ/+cFNr5vPZdVjbNafklLoayGRhkMvWIaxdvGEu43S7NKGkGdYQr53kFrWBms9F6r2
wuiSY5Lwx2B09E3bsKtO947fnlhiH/mT03oYDONAEESziJ0+kRs9ZIxlTaRB3AW0VRIMpf8ahXKd
KRaQzHG/TbQkcdi91m6/6d0ODQw/guG8NWAD0tbUkLo0K0NvGYowTfSLl9EmkEOmTJp60zo5sr1z
9JLWfeiTJcXmS9hW+57Im0TrvEXumLdG5O8xk9zKDLjbOHVn1fWEIakMHEjl7N2q2AWxvQ2d+DmS
8QlO8KOdFWLBHuyuCcyVLJJzwP45Fu0z0pn7KuS9SIvuw0z5qAm2oJ28gVTS7v2RxWgUdrtElkfY
J3c8JIe8hZuD1eIGbvams5GKc7W/ADpjrmgmm64WMAT7o+bqR80QlGG9tjdHcyeqWaBDZTT1ux58
HfXtaXCbbZNMt00XN4xgSoRG1XEoeGQd6pK0Th4ZbL7FfXhDvbZvKvOzNotDkFt7BLtPXR3eK6d+
wGSfLJRF5aKwiHXOeywIKklb8BDEs3iyOo1NBmpwnjDp/TnI42M4ZW9DYty7CQZ0Rrq4REvAapbY
ml24IRXkRqX5MbSdb/+dV/w6r2Ad9O/nFavP5H8uAP/+Th/EF/5Rmhi/QB1j8qD/BsP9oTQxkfpI
BhLm7wiG3+cVcy4amjb2KHPqkJCz9vy32sTUf0GqyX4MqZGhbPOfkXDVn6YVJrgGhEiwelGmUyb9
aVrReEj5kilDgMc6WMThyfbjpdGNv65IIbv/PS1cOsxefgDu8ptIKAh4sBnOEHlFLM7PJRBhODHq
iLi/KoXjA/6NY67V1CKVQ/CdS65RrbfZ+Tb5jTu2pzIuHm1ZERWB8XTZEymzjmGCH7uK0SQEQXKh
xob7WxXs9vvqpa8LtlpOgClolvUEdXJf8A2XnAvXXABjQfrJyqPkE+0QobA0WGQgGXGOZTosXQRN
y4y0gpWrLKQwcbbxrG5DiByDawAOqzoe0DWYzxqEc9dkPcKv+cLBkC8ZSNzTEN1p6XDRNHVpQsHw
sGdNTpTannCFS++lPsWS/ogthGvb71jdzaaTtmtuyWjY9Gb77DrVp/TtNz8dX6t5LBC3rPLIPLqq
yjta5A9s2GLuLMDb2zqoeIeq6jG3/F3omP4yCYIjde971gfxpoNbDjQR4EOSD8VKa2dtCo3ZRm+m
Nz1NZ3ZldGM6YClHsGJaYaxKK35rbf2xqtnfDWm7yPXxzi7bLSzVHZMADQEUwTm9aYS4XMnICaRi
e1NQajWls7TdN7ehI2fODKCNTV1rolJl++dg6eP9i7b04t+ckdmIsNRZ61osNRn6qxJjmm6PF9mT
3jHihOshvW1iPbkSlhFtuMW3EypI34dD1+jm1u14bYMeHrxmsQAtSvcNAOsOpdodKDXYb1P9FFqY
jn2CE6j3kvu6b/e6irtVZYgPQajgwu/HpyQMFbFG040ccA3XQdSR8VB91RP5VXIfLuNB3+WJuwcr
oC/jvt8iVLtNScEa7Nw62caUAVzLPqaoeAlsiPKplT/g+4pWZmnHu741tqizlhIZPDoUIhx4xNDk
mn2w1oeg/JJFuV9tJkfj1lXWwKpIDFyui1HiltiZPZArCG4b3eln0UmF7jNR2GhHNpEefbBpfO2F
uw+VvukmxiIE7RXdU6yMWRrT6zCcVDjbuQY9XMWR3Bv09Toqs2Ye+jjlF9yLd3qsfToub1OJIynn
aUQM1UGjrRts0/0q72N9z84NWVffnZwKM6CGMoplDjqUugtnynT/akV2vR784uyHwlvWxYBjcs5M
qU8wxqgH613fNy9EgtGyu9GyiwTRMvk5tvjIGll8xUN1TDRtPyWBCc0sCNbTMKI37MKvVs/tFfWR
AWtQvyPEaDvkzWeMr3E5tEiDrOKFPRxsg31gVqTZaLvRsr8MkXib1Bgv7YQEkzF5S8x7dt+ItNpD
QdORaJSUWbWUGwYwgWs2DAmMdW+Yu04aG0CBCOKmotsadtRQaLLL8TvzLWOl0gx5v/I0/DJmX2xb
PbsZ8/61yiPkYqP5RBSjcy40QrMeZjis75iVt8slBP3/6xj9WSc/n6JcFyZdLMNtHLYwjH9uJGs2
+95ojdeeRefC3HqH4T4/76lGtS/Zc7GO90hyFt4R7127irbG/ocL7jcK8o+hD7Mc4l/O2d++PToO
Ih9QTCBQ+vnbV16rOs1qp2tnfym8vSvouIY3LU8X//z7SKEjnkWRYArxp37ZbbizQrJrrnp4Ijdy
kSSfrr9nB/l/fJ+fb79ffx9eT+5AncYB3sHPv0/JxFG1eiCuljpWFugbZlDm83/+Xcy/e89+/GX+
9E3aQIhaAsW5dpv6CWDCutuJr85qJlKc0fP7i7tqjdB0I3ePF2eVLC7dOdw81WtvfRsd+sUOtPGp
WfEHV/mGv9ZP//nnkz8PJ359EWYGvo3vAu/1d7LTD8OJhPw9TKxCv6LGvXi3Yi3O+rN/ILKO2dxq
XBxe9e2wvJSbfqfUMj0iyLhFprgBZLT8/qP8vw6N+f8tUEEJxYP37wvJOSP8rzuv+Wv+qCGJvMYt
h2fd1TmXFZOvP8Zb8hdKQFDn2HtwHP7oqJ9t8wp9k0IopQs1m35+n28B/8IhaDnktsC9VTz4/2C+
xcblp3OB3w95Oes49meGLRlPzcXfD49QU/VRlshouCkadHyF06xsr3og65G4FUlryAOWP4SdntxI
8gPv69ardmiv2l07efpSb0FTstRvEHsYF4MqknE9ZdloR58GRsRlwylxDMru3W17oA9jXq/jMhmu
ru9T9KWZvXRRqTyYKCsr5kLwZd1VhwPtBsN9uegJJLvTfTvbthxrWCQQM9e6/kiGXrJLEqPdRhia
OQj2xug8+GVbbQYi3iiiWFMniK2XpuW+acLqdy5jC1qu8LE0+/wc4DzaNOgFyMPKMArxEtyEOt72
QTTurmTyf+P30iLo1k13fWGzU/cNd8eoo8F+bb/kWPEWZoG6dpZTtqBuEVy+9gpccIMqHWUS66gA
33drMlbyxVr63YF8pyNIyCdezTMUHSg9TT5TfSB/ZXHwpjrzy2ABwwDy8uwzP6xUlqyLwGcK6If3
DUsERvUaLPlMx0Pt+7t46sqdZqWfhk80CxXRwapYkTUTBGH8idGm0ZS/Cbwe8b+aXnmjcddYxX2u
eRczGd+dKdwZHqsJszC+emN91eqsOwEKr3AVTAIeuHMxCEEDazhdVM5b2hTDisEIvFbjXRrVM2Tz
D8K7gLIGjOWT4cYinXlhF3qz0Gn0aQzknoQkhU5nQNbmu+isnWYpUxNGsXWiZHXWuW14C6UHr4U/
3WKDOMJgpU4cCAgkvRE9E/jPpeWgFb4xRhEZ70Jaatzbs3vaDvyj5pkT5AK9gmqggOUw0vvUcAaF
rWMyyhw3332tnhups+gSGDdIfGxFacMtf2KOzLqiY5nmCR1jrELAMKp47ZQ6uwxtkncV899l5xCb
Y/rxRykLc4GrdVyHKVD1PHKpSLBYkrLJixzW3l4bybXz2UUuez7gS8GTyrzwLskQdnUhuXwO9rOC
6MeHLPDqBcKRnY7kl2FN1APbtFIQDj2VviBHb/Q+x1HuAL4rrBPqoWo8nKsZoLvYWNJnXsxaEfVj
IhBMe4RQNoliRK2aN3YzAnt2qmZZ6KG1GSrKKcLcll6jTiJkmetmo7sUaAWrpA0P+pgfUWuhjMtD
3qXGRcz7UhPYqfU+Eg3kVTi4tk2JhnvppjQyFK4LSJorp0zeg0RtHFxzDZBB5HD2wAubvhVBfRjs
vtjHGsvAJNT1GyD1M89fC+7AUPqHzARmCk/i0pVolSPXWsuRLLQk63jOO8CDXjHcjjqYgLEsYrIc
EYW3Uno7wS5o7dS5uR19zyVKuKz3RZkd/UDYhK61xqG2/OlQRgS5mMxR1nlZkBKO2mSKx4Mm/JdC
Swlgi9hZc/rFew0LGOaR4qAZ80qMaEcrKl5LO/K/1Vk6Kw5b89aOos8pmhp20a4Bhvi/9+f3QYzi
Qvn39+dDm3ypPv/mBuWrfr9BceW7Drscg7qVImcGyv9+g85kTRtNsYv2n8p6FnT8rhpBbWyS+yy4
XgUM+NnA9fsNOhtgSWabXbDsdGYZyj+6QX8uEpnzsJxCe8LPgHneccVcqf5wg/peKchFzNvLxO5+
MYTtWzUiuYpj3NYcOARPJs9KZ/FOHAZR6Kx9lI7ouMq6a1rne9vl3q0VGbjECqEgCeFFRufRnnpm
K+E9p8tXmucYSEdnzxqSlBWBPOdTietfEJCb1sVNNohn0MJvsjZf3NIfyc50wYZ/DwlhTpFgyuAw
D5jrEthh+zRTYRE9KSd7K8b8sSMqExNNXSw9y3qqymafDdlzg7PRy5D0W/aNYYTnLg5OTR6+1bmT
Yg+3r5WhPhIs7OuUX4yeLbS2UuaHVs9fSXoYcb4bQLAamroy6Xdg0x9HWVRrv+k3pjk14GL4tHGu
JOyAnK9lwAzWSaxT3SQPfTbFS4d1gIqduzx0v5a1ew3VMC5kySRAzNt+r++JRu9eRJx9eE3+6pXy
ps6zD5MrH3dZ5a9brEe72k6vfuHuwgBdceS/JbLp1kXiFKveimeKcP7R6+451qh1UkI8F4U0vgvr
IMaXsFFI6jtx0xxK0ztlfoKcvKg2tJAbUfUHH2WZL9UdU+9voRl92mn1YIT+1jOml9SfyGPB4Qv9
HQMZdua+ZzsoBZodOftVYcefA3f4lgCfoUMV25w19rKt6ExTIZ9NX92ZDZtC4KMPpi+/YZ3o9mM4
f7lq241ptC8pJqU6D9BIK2vTNi0+kraJyCpIXnMzijeyaC8yUGIRxrg1vitHCbJbWFO8ETaqCkaL
W7g1OcYcFN1twbuGLYwBiLJWrTkbYCZngzSm3np1cQw9PHTTbOCtIpAuqp/u7ERt+0xt2tIsl+bk
AQ2NuV5FM+jYDGuEGS1PnLJ7jfxlHuKx5j1MZUHUaTXdM0zhu2bOxve6Denh95NjHMIefaAtCSWo
EeesfDiKiw5jMYLHF0I9mctbxbvQc2wkOdE9PfKMXoQ7UlPYZWjBTmRatNJs5h1C5Ft4OFsijNtl
LTR31wQ9YYWd84lw6uQMebdgxlWghW7QYo8osNEvr/10eMxLdWBQj4KAcnZhGc07yuoC4YsOSnXC
GJ0OljyaWQzVXBk0uIl0A2NFTOKzdOKqW1daHYRPvAxeQ+Fs+0gPQthClpeK7AFHDJthsykmqGsV
cb9L2Bn2FcZ0aF3HMgyuRjn4r1i51mTI2FSageldCuY4UQOO3OmHhVD+LrCBmGNf10gfVMMtYMcD
KXyhsUbXZSiu1oRYF4el4L61BRLtMhwaoEHCINwZZOsSUOxtnltDuaWqki9xT3bAOckKynDWd/pq
sOwP4bOjI9phrNJpDul2J9jjJhQp/Ia2/yAIRa9fpdf53gpMtwxWpUgt7y1WYWCeBcs7YJPo5Ir/
tpu/airmecm/vy7Xyf+s8goS619vzPkL/7gxXZA0iBhtw2RQK3/K39J/0ZkYQI6WhJCy1/jXjYnf
hwuR1D+J5IK9xg835izBlFxutKOzbvOf6SwBwv6553T4/3BhCq5fbunZdfTjjVn6HpAbvYPEyo69
n1GMHUxGjU3Lwo7q6qpNM7CR2eyLMotm6aqE4BFbI+skxVdca112mHz8yPHESJCwi2cEVTaHkkNW
FsCdzWRi4U3n2HBm8NWyMdt8XXput8Rd3yOqmu6JW6ePGpwAXpX96MKjZIiZ0SnAGLVhVTJ68XcV
9MomHJ491NCYc4v7KsdNY2mhu9OF/5HBvhwMccSfegEBgPh9xmMCWdA3o0IHUMDOTCibxxmmCQif
lXfy6jXy0FhFTZx7ey/IPtj4pUVASQ+KEdPuu1XFJATOwM5qUCOk+uHTyq1PCppohW2VkBc4n+5g
vGQyzw5Fm+QLAxao7ILbYIaD8mN+uBlBGmzeHaOzl1pg5fnTAM8L4YVOpAYYZwWzme3rxs9x63no
xkAIfZKVuh5mvnOeFFsT4rNd9Xfckf4O65MD8EwRMQICYRWFmrVuteHGDnoDr5N8CqFJdzNW2pQ6
dwn0HHbvQKeprbdJ14OfaN5gTcDUMABUt5CqpxlZ7YjxyUkwyV6HmuSpohkmnDVMYN1ToBXfpjZQ
6D26aF1HrQkuDykE4P9hm4aoXcswcqn6x+DWiOUjfkPAnbPNQDoBfKLYeJ2EvShSQjHah9ZK/AtQ
ueIwibQielqLd4XKMS+IO51en47aQbWI3BPpQ/g0y0CxzrbOwgDWsDJ82tHCovNVecO0VsuvfuR5
C6sGkWaJB1sDmdtH4G5b9nCJdTDbjJeYNDYyTJ4LFX61jfTkaRFyE30ealRI+G2t/WJirIFkZryi
53hjmwPwxLe3OGFykMHRTgpEpHZer4Z22mgSo818G49ZTJwILpkkPkE0OestunlnHHELZN/ELP7o
WseiIBhxocY+8Txa9KFb2ouSeCiC4S4JmtPYaQ9oi98aprPspNxF2WrHcqguwvAehyw6jj1ZSKUn
n/wUKF1QeQ/eYB+biFeokL65MQrWJLHjXjJpvnp2/4iom9aNyxoCKxscOxTvtene9VV08SmYpOcC
K7a7WR9xZ4z8LqkX3la1vieJdEn9fvAZqLRWfyw09e6PzdO8HfMzhcNe3QThtDOqdFEIuK5xPb6o
1nG2kY95LgZUxO3JRNYv4Uu5sw3YGzqkUWH1UtXpwXC7c2zAUBHTE54uh9fDM4j47fdFpcIlDyzm
fS25w+H+Xhgpdtg4QbRiOVucfMYaz6qzprys1wQFphvuv91kMmOJijTaZ3axHGpAshIL/3zickoh
GInN7pq3ApEmuaGbFh2OL7CJ6FD9BC8BZ9KtMVrnqHU/ELHNRD3rUVrm2TBLInpaHNlk4xIiNx9x
FQE7nS/upZttEhs3kiwIE67BKdDhJLsU9ayeYHPy08ZaWjxv7eTf68J8t1Nct750zgSYelvf17QN
6+I73QaKUPpMJ0Zpv8vQjtcMv2DNW8V6NLRpkYbSnBGGmxjXL1Mg7z4qJ9Qrlf6QhV22aOFYfhSB
drHIkF8TvAnQPnzug44QkWCXKucbcql+3SAQx04vwBuUxGGEtdJAYNZT+pzCjfARLdGlNBZGNFNX
R+VUD+5Mhq1mRuw05W9AbVyE2Z1BTOv04nWMxeyufrcarVxObXU1w+QSAJ81gNAOwGj1mUprZNUh
mSRJSGaCMVDdAqE9Q2ghx3Bm2kbAbR0gt0IjD7CaubewZaiNp/bBAIkbeoRAgsgFyANvgvwFfprp
BUPhuS7Hp1T1t0UfXXkeeBEA7qaAdyeFJLWZwQydYEZpI0tHQnKfgevVce4J8L2mGB4ziZDNVFcL
vG/hmhlZh3yqZ/IvAxu2gAoaMEHWEuM7hOBMyGbBGbvqw2KXARGuZpqwndYcOxbRADNpmH4SDfJ3
+nAR7aeZR6zF/T77TiieWcXAO+SecU24cmeScW7ANI4FBS3JqvrCH9hKz+Tj/w4xflWTUKH8+6ps
g0//76iDgq/6oyRjbG8JhpsUZUwsfqR4zdYXUJJUXRbTCkf9kAFi/8I/w87Vv6tFvldr/xpizI4Y
+Pj2byLYfzLEsP8K1nUZmiLDdWxdsUgy/rSdjGFruRiO7Qtg0YPflF12bno5Wsso7YpiDjlvpy0J
V/UyDVIfxSpDsXGVu9mcwhMFr4NR36dBOa6COiPmqGm3hEmuWPuyCBeZRCyXWIvcjd4NHAR8UFW4
hpZX4o1TF/S82DMT7TXHoAda5rlvcz2+bWC73IP9YHSPK8/G4JjwSfZFqF0ItHP6BQ5NMCaa/zoS
snPFi0b3FCSjfVUZKC1GC3DIAeDNvZb63ndZtmZsPM6pfl1/78zK711ay0WM7Y7eLf7exWEuZlwQ
RSNXcHXuI/PQt+pOwf+DjZA9iSl5+N4c03h/4NmlPwxack4Jl66aiPPMeA+yaFpUmkk0lMRMMzy1
QaiWBgWh1mkrLeUI8GfDiVkU+soZQdDXGUZPUume8Tc4yBJiLADqHpEfIUYF3F4t/Cpd+wHF3qcw
ccPWKS+Kcppb25hHsRg+dj3//4X0i/htnBlgqNR2YkISUM7KjjRxHspEl5ucnhXTQINcNpK7AIBY
1nXVKu3DvREYpC6ngQ3Aw54WNZOVNWrjhINjPBiFvPVkmy4nI2AEaspdHqNroNvtIXYNcj92OpqU
VnwVBJ45bZ0ugS16bD/QyGbuFz/Ij0DujrUBUjh0oISwWbgn8qhbukG9GTztq3IZVYmB2Pni4lfw
VOAErYpqsnZpNqeVAklrcmZXFiMChMzpR8/4hNDU7IVHuoH92tmA1ij9ebxuTb1sFo2TXxrkytSN
3jVxUe34jOjIcLvzCo0VKTfqQgwV0WOqq2eW0CpQ+UsbSRYafnNoeAebut0QAkXcl8LDZYkyX08Z
ht5uvBlK9azXzcVtwoeoyeNlKOqn1A/uAtIFV4Vot7pvaXsObWPRBdXdaHsPgE5up7LlI6KTLEvk
NmO/MBzxBXvX1pt2Y+KBaxu0j6rUgpUwi5h1BJfUpLv4bFvi83xVk8ArzJVujtMhL+ybaCbT5Y7q
l0WbGcu0S+Z1XH9iB/GVePADixBCcurwzFSbyZ+wjwRq61vhwjgb4VrrfABWph59qUTRA1RrbtzK
fOk07Ph81LtFNKbWMmiNb2w88F4W+V07Me5vbXjOBH7b9jAtzAxiZhOj0u6nbKeZPJ3eXNLVSfiZ
jHLicrRfVK/uJZKZfZfHiJwquadNNFbgR09Bp+HYMdEkidQ0N30Z3YS+tbK0+C5Nuosf8Gz3gU3c
BpCFMHWv0s/KjZXQT/RFjxCqYrBUZtZDrxNzLCrxzZMmftTkQxhqX/YG97yPcdrT5KdZa091xCwu
TdOntG/kWrrtPc5afRta6Ws+mkel5eNsPB8Dotxtc7BQuTqFjWBfjMsxKN8NfOu5VGTMzGkWrSrP
1mxun3C5kwL8XhnytXRcY+fORviCaek0W+OdJsAYVQE6YiWLGxoHPUD8ei/s5j7IGkgohUh2o8jH
RTtb70FYvRWWed+kDeHrgYNPq/X6FUTTaBUVRUY+grh0eLXWiIg+u2l0V5mispwt/91s/o9nDEA3
AwHctoRaLejY4Bl9oOSCSoBtYSe8Xl3CGSrQ1eWAwo4ZjgFxoJ/RA6ODQ0+HRhDPWALMvcANABWE
ioDGMQqKcwrFYIRmkM5Yg3QGHGDm8BeDwdNaVNGHNWMQAI5OawUZwTeNEUQCotscakKMnW8V2Fay
cRwaP87DaZtF5VvlqE0GdcHvvW0+YxiCGcigGAMTO8AqE8WauxlmcANNjndrZZKEv5nqAN0hskM8
iDPwgT6ZmBKW30u4DOMhaNuvxB8SoTmjImRBQin8WVKRwWjsgiybHqc+5b3pR7zRM3BCo7hf+BKj
kYJGYaQeYi/dAZGtuqMPscKDXKGFjHgdnf7Gi3EIQrcAfnbvICg/gahFUDUjMKj/r0UbPGQSnVvM
4npDAki4aDHnLyOj+bBKlPbpjNUYZsDGqJP9TSoF/okkuDZQODJvEqt4BnMUEDpA3Z/INVmB6752
M8LDiEoxrwyBZ8H3YO374WBHTWqPgQS7BSyXwEASNn254YxrEppROU0gQwTsENwJX/JYu/4ve2e2
HLexbdtfOT+AHUCifzxVqL5hsW9eEJREoe97fP0ZSZnekmzL4XtfHbHDsR00iWqAzFxrzTlmClMk
IcRkqTKuX8Wyy1kb5VsKSTzIVHTSEkpSSzxJB0nLG1L1uZTokh6Gie92WCU1tfeGqvaXBaST3IGr
H49x8FCFKVkk/rMlsSiCR9eGkwJ67NnUaQuH7bl8F9+12Wc4l+5Kk5AVF9pKJ7ErhQSwCEgss1qq
npISWEj+N3aS5JDWnEQM9lTifVnAILqMTgNpyD86EvWiwnyB6uV6VaIsYjN/pLN/JsMWA6oExdSx
AT243ld4wM00+6LgCR9GykeLDkpeKVu4Jm9oTddgOttNY9OGLfkpKXwPaqwe5+CQxdQqmM/LJnl1
u/hT2LD4En4Lo8neAY+Tdw3u9QYb+9wMVG4JX490uMe0fkbpeY9oL68FNnjs8ki+McZHccB/zALe
M5eOagk7lU56PNHRhpPbCyewXTQW60q67nXs97P04XcoHSyM+b47PGo6f1w69gc/PiTSw69n7WcD
j3Fg4+4vcfGpjEPkIUbT2fDcPNiYkggwOfoZIeN9LVkBpaQGKGV1KSP3OFG5Q4aubjqF2Ygdmxqj
6WwDgYq6VMQrSxsy7BSQCRrJKACbR+9HcgswQN9mkmQgJNMg5NxJrmREXDu8g9yodzYAhAEQQiiJ
CMHgXE1avCnAqwDnEM6mnnJPG48OMIVQUhXIQ4d+CmghjiU/GSdJoc+fdFAM1hB8ckAzQEuFZO+r
IV9W9UrADWQwMZAaWap9feDxuQsm2mrUbw9aSfQpRiynIZmY6Xy6FbD6+jaBG6KX17lVZ8TM5JGF
9dIwNeUx7IsCdCzZ8PUeial0OkXvticY2FigJr6dXDUjxTOkQyp4N0s5brIv8IwsRumkoubczG5A
QY/JSrFjAimk7yoymANkSef5ffEEDWte5Q7ckX4KtBWqnHu9zm+xYYxrxINfK6xdRgQeN+PgpfhR
u2YmuQtt47XMx8sYuXD0bdIXwqjNlpy7iGROjIoit9ekW2pkO5k4F6psbA1bGt+f/O44m3cuQQhu
eKxqgurS0vDG1j73bXTldvYRQqW7yJv4VXPh1LjGkQRLTjdF+Ym9BUIjma1J7tw3UWTs2059IwIz
38yxipe7d7ZG311wu4cc8kgcoJRYcK4ZPGATX+oh2+pAivAUw/DAmXQ0qvRGABWBU90vMTwMW9bd
ozugygXCsiQyoNl2PU90LLggQU3LxEgbTBSohBuwjHASN6XgtOtqyUtSRUsjvEpAnsQm5rhR36EO
YeDi9Gd0LhUtyvYqMyFBTDUKPQ17/wSRKVDPJrF2qBDOhriyaNUpc+XVtRLse7V4TIZg14bRc2u3
96XLECpGJ+PUG2Ylt4hwl5x7z1MlXqJS27qNwsqYBbuZae4u7tIXXuB9KEt7m7PgKgSmcWBVeDGy
on/M5j5YFFV8GIkM9po+LpZTNp+GnvzhytKeyl5FJptco4l6TUoHZEDTcie4z6lZHCM9fMwGeqD/
FvTvBb1BffvXBT3t//at/uOMRf7WR0EvNBl6owFIezeZCmYcH6oEfuQiTHVRFmjat/HLhyrBRbyH
m4KpDAoEeqKo8T4KeljeOvJglSHMb5iL/y9Vgon7BMExtlWmPab9syqhFyAEK8WdrkzLbdaqkuar
xlCJuEx0tN703uMRjFBvUgaZfl6eBjmPyMyN6RBf09RzB01TNY9jPrIcxeycHSdhVBDqMp30Zi20
1qUFSDoIpWd5LQw8r9ReygHjmLlp4uLJnbV4qZjq57zCZ6+F83UWwVP1hwIwWik1PoF9NTvUf3nR
q6TV2xRQxTADwQlkJmXAA5+J60RXWJpRN3mZb67UOjS3is3M19Q5N2sJ02P8kbkJ4zW5YdL0NiTV
bdFHOGgJi69VWX+NysiknnVqbt3ySu3QSQhx41b8FV9LTgZ5ch67h9eMeUo6uXtSDT4aHRMXEZrX
ajI/ZF1578bVARHBi6roG7q/vNh5IGjaiY8GROlFN5inuXS+IJdjzD0lRGGJ/kAoKKKrdKhII2Ip
CVnJXeF/TkIdTb5TrIkaWdlKBe+xfIql992WFpgozOrVYE6f5kicNUk9HJzyBmQHKINYr5xL845H
VCQpkXDBZOmrA8MtIngcDUEykTwCyRbhJhuhkj6kuWuN6J7ZcaKVafeHfDShGdWgK5uGQJe8Q/mB
wxMNncwBctFzLgZBNBCGy05mBSG1XvUj6UHN9ObbyLQEQzlBvNA05V87OyjAaJI81MoMIk2mETnE
Evn1ZDGqZyJTxuV1SHSRIzOMNJlmFMpco9poTOwAjKxE+xATfdTJDCTLomhkKLSeqzVHMwkCp7Gq
WdfjEDwywSHvPWsOgUxW6mXGkiPTlpyGY2GUBGhXZRaTDb1jVch8pkImNUUysonopuQ9w4kwJ39w
am+qmtFrCXqCNBbAAShe7ZEMqGaECtUoVOI0/Q1vAAsFNs4ATSTQ1zHkKGncBgZmmoDmBaKKGQjz
FsHbqZUyxU4KFn0pXYykiBHbFj6J4Zou/3MuZY65FDyabHWZJbaWlEL2aCLHvGk4ohOBbofaTpXC
SatEQkl7moQbVJXFqOzqAtHZhN6SUKfHOGNagQ4zNrrR0wIUoKZ2rkXA2RbNJm5bdRVLGacvBZ0u
yk4dhWcMuXDRlOFWR/s5xO6ZA80tYTTUmahDU4YVKB4RjIJbi+HA1VBkfOu5KaprIfWlcZy8xVJx
yplwM3dkXwupRoWdQXWJQLWQSlWdZvhKKZPHHBErUSPMS5G11mr8kkudKx4xOthS+xoV+olT/kOM
KJb8gL3jZsjXR3NlIZv1pX62Q0jbS0VtjLS2RWJrx8WxqBlMAaBluBDYT+1MqzyRytxeanSbd7Wu
xo2HXsi4EknhKF5lztGXf7fFb9si+9EvtsWC8KQ/kR4Y/NZ32yLaAk2zkLQTlvUDzQG5u9St24al
M5OWP/rYFtEX8J+iMcAe+Q5O/35bVBEJqOpHJJ3xT/rcyPF+lh6AJ5VZPSDV8eEQVvOj9MBwsrg2
OjFdEYxaX2xaWzdAEBB0p4bY83Qlz5MGe89pe/U0TCS8kI0QekAI5wfbHejSqEW6wXUR0cwsfNbu
tl7lESHxTqWe0zR0GYRr/tE03fpap6G+6HuHXl03M0ZUi3LcKo67H8WM164N261W6slnBk/5Js4H
H0YPqr+6bMaXLAyDfVERX2zIGbTIVclgdMrlVE8PrqhYQ/XXyc/sfWcRhEZfdDjkSeGu6mIgBbMl
PHlM1atE70h8jhJkuxYxY3ShOXLzzBTvElb1Xc7qIGwt6UQa1y1i12qeg6/UJ8+h1MFymMe4Xu7J
r3SXo9TKClrKKCpscQm0APHdRHtRr9dGmV+bUmsbqa2yaaX+dpZK3FBqcmHwHMjiaHZRC4JSDUNj
k6S5seqlmtfSemcRmQESO5KqibPor+ea0ImSAM9Fp5gzTlFzFQN7pLntnmPdTKiP+HQUqSRGy6x7
mVQXN41wvEkqjiukx52IX6rSHml8tzk1qAW6PMCqDZuzpSPEFwYMu2bRTVQMo9o2RhY3KaDeR7Pf
QIBH0Dh35WtfBPFpbI03JQH+XqlUtxlBiN4ArCKJg1tskteZzXklGceN6NMHEQ+tezRoCS9qkV71
lXYphPOgBo2NppqgMXR+o6ARaVfmyi+5jmXRwE97Izg1jQm1Os/okWtvpikTL6zhtg+RlzfA5peJ
Chs7y9QrO3CRxxSbXjeP8eieykHdhFonVnMaaIAuEZH57KBBdJXNCOYoYtauQVg7DruTOZVemSj3
DkQlbx4NOBnEBM0dPTxR09bUKvTOzmf8kpvCnO4rF8/m6JfspXLw3OaY089VYhYNLkmr+0zOCwmB
OrUYZ5mRWi0veSqyKDlqKPK6RTelxb50fd2ztXo8gpaMdv8uxu+LsfZLKdixaP7nf/PgLX1r/lio
yF/9WJGRT1sGZnMDL/NPk0fyg8jRdLAX6e8yMUTXHyuy8R8HnyAnEBdmI30V1tGPQoUcUPTYDDPp
yJEISg3zDwqVn6VgSNAYerIcS1c8Y4ufxNOxYzfOkLvxuctWswnfJdwY1eN3u9SfWB9/drCbmBHZ
VxC4QIs1BHc2H88PgjNQ56k5m/G5LeIo9QpHJW7BrSHd+mRKrGIdnkUxCQ0LvZPTUgsh/cz+oacF
c6OW4XUaIQcxw+iIRBJIlaaYaE66dJFqkbpUg3A3iGzX9SGoCkxCnXZU5+G6mcSpmovDCH8lqoO9
GidoX/uAmAS1ctf2BAEPV+ZE1qT7BXvxgImEhzRucaynafcVvXPNXJD1YYF7E22cz++PNjoKGDe+
tR+UOdv4w2h7rQKhN5aJXUiFCO9K2lxd1sJ48GWqFxpd/UVkzE7hX+ibSE1CaxV2FSFtxYTNqMAz
TgeQId82cGU4mPYeFNbrztmammnc2DJDbLQc9OMt50jnYRYVkQSVSDe1MlvmRmPPmSu0d4TqATs0
M2TLzNVM5QrXvnLi75fwpBFVKGN3KCSstTAiz8JKxghEMJsie41DqZHsO4TRzoXrNfqLOQV2cxBT
AUk1mPSbwq7N8RJq6IGRuLsHt7bsfR90wTMAB+MR9AcSo3Sab4nOBrnrEN+EYVggU946YU+EpTo0
7n1ROAyFc0oaZpUSPjKGmJMYYlZBMFGLmP3Z7ToSU/nMj7Tem9cGj9E40ZyZRgh6bhXtFJxDKxtZ
8QLi63Az990+Jopj5RaaexMg/lswEo8Y7LoEYpUZncPE8IDxe3YVPTqZ2R/56nrPquB11yypXiOQ
/43pGO0tVG8r3Dvzpm1TbZm7vnFuwp5mJgXLxtL77WDktheOorkOylhbOUp24gwPfK3J17DBr43C
3DlYCDzfSrdFhFws0NUL+JfbVrP7+6Afna+FOi4anN7WMFpfi6jzzIz0Wr/S7lSlWwdWi96sSFau
AuTaQXUMz3DRWOWXpmnf8qh+m+LpoYICVev93h2zNQvIwjbmjTGqp8npPei8W1oTx1lmDdb9J9Xs
TlWmrFMypPWaoVk3fc6ZJQbFZ2TfGlL8FEiQTL9OzP7ZtKJP6WwZ0NqSZt8CUcdHNh9JgNnpgThZ
gKuGLnku+fqaVoev69grv7fWqJ22nTrDOW4QcSNHrNRqQQwu0qsmV3f0rmNPw7RE6+TCe7xBRY98
O5oDL6p9xgk98ufQsGig+uK6TfPmNFTtIRAjNzOzwbQayej1GW852XRweYhUgFTCrb2RAaZT6kdj
LB7Jll0mdPM7EVyTv3gkfWzZC/eYdf116Eb7VJQrGInRKggwSk0Q/GJ8Ucj+aRQEtXpOlOSlSLQX
HGJ7EEWHInX2caddz4PmpcxeijQ9QV/GU1FNh9m2t6UCkcJhklgl9rYDGgpwh9QSmhscJvcEGU67
aiYenVn4l2zySQAMaXNMAfIwc9STTeWWqPs15WaelGr965WXjf6n8zYrL/oUVCzkw/NT56f1PZw0
RI5WSmO1SsSKrG/iYnryiaBZpMc20wfP7hkMFoA5s3J+08qqua6qRL1zaA0twFbfYIg4qqPvJa79
qI7tpgqtr/CUAqxmNEZQYtI0mNR1MXNPpxJv6ZsNti6Hk3NFRpzttFu6959QNHTLKG4eBNDtVa+1
COdgkmM3W9KdacadVibYT/18o8X1RiDhS+G8kln+ZUqz286O9x2TrblJ91UnjnZZHJ1GuJt2mGjW
TtFWjKG5BLDA8Yuub0h+UsC+5DVqc2NMnbYsQ2uvhi7PtR6oR7+lvI/r8R6akUEDq8PUMYkrAw4Q
zV5rWo5RcurL+Rw28S4ZaMsNbeRFJCj575ZIhwli5gRraoOVGZRHSPP9ws4xsYI6Srtsy76GCrNk
KF9MzbqI66skTm/IuwowVWJKsnIlWkKugnheXyK96b1sJq0WXOI9cCQyhsfoFYH5IcJJC3O1JON3
XidJJYeoG63MSMbTnuNsIiIb3aFrbAfWIb0pvhSufVQrxh6Bq3zxNWtGMFqhwmnGRZJm2k4p5VrW
HiPbehJqulbViQaOQt2VCW0Z4yxcGWFwBfpL83IJfMVlC0g0i7sHqF3DIYqqmhiHIft2jPxLzA1U
nu/4CO9HBAuKADosxvKEw/50RIjnehhrEqnPPi4aPd7XovvWTP/LK/xYevIn8ZIC0MWsxjCXrHSc
4N8fQohXzU34ksE5tWCfWldRF22j8qYeSNeqia8m0MuNV3/zAIof3Wl/vKp839+507oyaUtDV5ST
OuW3JoEfIMTzW3bFp4C+pYSQxcvWMR8tX9/1tK/A4jCqTWnfMAyOimVez0+FYh8p3dRlk0nY3aB9
ckLD9jI1vgeMNXhBMh3s1Hi2/GTcayl1AXdTXqy62c5XTqkQWVb20Gbyadp1o61/KnIwHbh2dWwk
0eeUe3VVqVbosQJPXutY6rLv3NvOkJQ6Jbnvgl7sskC/hFP7BeHGlk3prqnrtdUM4FVMAp7UUFnF
VJaLdMjzDbWbuqwYqnv1YKJQicYbEeaI2CLapHpgLRjxHLjpv1bNIGiJRbBZAJEMxt04x4+GmuzN
ltlOnXBYi3wIsnELh8jqcOHO8UEQp5NPvvD0VFXZYBJWWfWxl3D+KM5OTjhu8npY9f7MHayukjbI
aGOWXhFnzqKcY0KhUv9UonUJTBvzL7A5JxhvQ4uh8lgqd11LRajrYHJnu90oJQozrSteraDCI59d
VyWd2nZsmXvte5NxWG/qhPg4rIhY4/Mp3I4+aoy+7s6lxR6JfmxXgyqjQ0GcOlL+yjQ2QWkcbYhu
f3O7/d09TkXx/d02GBwxxMzdFh/zS3BW1nDaHmAB7SAgHR22nuVnMSzMvXYij+vw64tLS+d3j/DH
rW7reDqFsAGN/3hxrQwdsr8N5VR6dJaPYlmuwROAfXu01/QW76+U5fGxX+Gv61/5R3qejupiH639
sw4U429ezY8b37cXo8N8MR3dooz6mbcyqQNAfy0Oz6F6KfUU2dVj3W9//Y5/XLP+eI2fwFwzxEUl
DNOQzfUtqKEpXf/67//pe7DBi9gwVsml/unbxOM2K0ju2byVS4WqvzY5c35bof4Fh6jcfn/dS92k
b3n+x8Jd/tJH4c4Y0WGrkCGUJPm+i39/nzCK/8hNiv+BgBPMDf9buGP9wvAMGuQ3Gxc/+ijcGT46
gr/FPzQVMO4/DP798e6DHEJXATsYf9NxDBADP90d+dTYYuwc90pkNeWnyWxkU+tFkF/rCjv3ygyz
xn/BFkEnFDGOtc/6KF/OvXu0YvdY526CIiX5lOBlkBFGjIGC9WQYiNd5XkB31PqMEVmvVl3vXqOE
/UriQ7S0awfFjYDaKYCFRcghsS+SXuaQYsbiuVWi9JNZE5snpwVBPFwnMvjMamsKEWtrq2Kroqhd
6GSkEZ7HnIbUNGznZ4HIKhLEqQ0yWK2jGJ5k1FquaJ9istdGRqW72rGfSlLZOCt8RnJxcjBv0sXj
vT27QMiZliQLfEVvNBa8RMa8xS6Bb4mMfmNNXAO5ypei17YV6XC9jIkbZGAcE856VcoQOVoxvNtc
IX2pmB8RJZ8cGTs3yAC6OiGKTmDJDQ2CHvUuWNcyrg7qhb2KSbDDdXrABtczrSPcTiu654y0uy6O
ERYWV6OMwVOYoK4zGY1HFOhukGF5bsS5TIMX5qmDQUqKDNUrZbwe8tqMc50LEGy6zsxk10D3X4Qi
/jJl9GtVGdNXFz7+LRhbZPW+5qKjda1pX1uh7DUy/gYyOWIcCCiTOFD070GAA5GAhQwHnGRM4Ehe
4ExuYKbkwxPf56E1X+bMOhmkH0MpJ28u3quWfzvIAMJ6oCnggdWqwqMiKB5pu8vtuUzTIoQl3iZu
dR7ZUHdpwx6wNPsQ5KgDZI2xn3sSthLu7aSAcIu8YsfnUqorQ43KTeg77q1P9B7Qi0kbcVkVKI57
czI2ZW0aKRbmMdhAyGAERtATZ3+aM49OYTlbZU7Up/dV4N/lUB5M/3o5PL3WUVk0r39cEeXvfayI
4B501Wa9cziqS5Tad5oL9T86bAjcEngM4Sb9d0GEHqGy09rmb4HnTHw+FkT7P+94JRqPDGJtQYTc
P+hkIuT44fzBgsiOzCmfyDydtipC5h/PH0wyE2Hjgb7K1NnwYQxxP4+aGjoIj/I8uDCjIaqjq6wX
KzQG9msF2jbCJAUe3Ww3D25oFLeuG5kzwtBuQDuU2+1jo3ca3ge06oxGY8IjIuVhFCj1x2A2lqkQ
yVKMFsEDzMkxRHW9dRek0+sQzK9Y1gjTHG+sxgGiDExWpFl0JSaUrVpircbe5zmv9xw8EdU3DObp
1TRLzGqvSVVzUh6Q/NHHkAorHnf4KyljJEdqo0apj3UWZufujAC2Xj/42zKzbozevMkAOXqJTuHs
j+fZAcvj9tprlVe3pS5eQicGE+7Xw5roEHxrYsZXErmkevYFxbNh3sSWfeyd5klkyTqx8vSY1YRp
hnDJMSQi0W2QEhp1AHdtKJ1lOSc3KFDAOs3lSa9J10Cery1qRyJ1MvyKrGssTGkTLVudXt8IxOGY
F3Sb7fIJYSOwcA3sZqfWb3NTT6vEJU3XabptCv1Shf6kEYFV2nZMypS7NIx2XDhCrBGGomOI+Qwq
XwMa0zvmNsr5f0Y/dhBiioc8TL6QdXTtGGByyvSzloR3VoGPoW1j44g1YheVMllDbn2mHS79DIpG
0FnHgDb+knnkDaEgd0aNAplV7YtV5IeZLmg5OXShVBT9ec4CTpRbjMxhPOSRtmyRgSwAhm7SSKG5
ZHRI8glIJVfkIbYain5riNbEYa2sEpOaScCCMjCKD1VnDf+yP3dS+GxPjdMi/921iZU90K0cvTrp
rue+p2zSw3M+d8AnFXT78dTd11P8yUdvsLVCpj2moa7ZoB8t4TzZfrAUtfaaZniARvky1P5GmQhg
9+erNMHCEom161+4WYszMsFj6iaXebJeIotwtxyl9Loe8XsaZJDt1HI64BZkrzLjY0HSjpMhOCL9
91Gx8S+35gC1m7jrpVKDIR2Ss1lmVzhNDoZrXfrGwT/e1/QkbGOt6NULuw9OD3GftSk0+MLel711
NUWI41EpHBSXjlRfkd/lN3dObH9C2n+qre5N+Nld09o7DYF33APaVJGvL9vUbZCn8z2QVvMl1aBD
izmwF86Ydl6ZW1e8eZyhQ/hUwXhaaGp2JXztQhW2Zrr2SVH8JWE/wJtCeCSZnl1adBHkZoUHO2vz
x9Di5J1OKWxvNU8PSgpMwZRCTugv1tLOstfB95NVO6XXWuM/pTgXlqB0oOnSlXGd+Zjm7anTyLTp
jOfByl5bXUM6zEUHcR2XkZf6iEjRQoKa2BgQNfUyBZ7lI/7hdIpW18nXE5wLQ5D5zUKLXTHcu12r
HyKtzq+bMfEhPfWa7DfmKNklPsV1KxrAsfPYZTlZKkWGyxXDdrOuUrXd0BGkwZQXhVeOhriMkwGU
KdLOIQ/Wku/cvMptaBNmX/PltPb4OFdg4DhbpIfYiE0I3YAxhlRJt5pN7AEeKpuw58YP1EVvteG2
VXQFtTltzsVUqtpaif1k8e82/W3o+MttettlJGl/af+4TcvN7mObFroUeqjMFIFQMHNjn/y9cDFQ
TRLKoZuqTi9Adtl+mzjCxjawH9In1oGGOpoUVP62TxvEhqmaYMv/3SH5D/bpH4taExgUKhOXCabh
AvBGpvnjLt12pCFD0B8unboP4mU83RTN5ruzy58MHL+xt3+krcqhJosL0UsWjNKfen0EaOjIpZry
og8QqiEPmQ1M2lAXOU0sta44pgNeSa7nIrKccxiG9hMHecFuoZrTMlSzUeyFVdKXLpAzjEcex5Wl
R6s50rAGER8xTenFNxUvLZTd1LjEPBe3rQqedwpJ+qjsmzFqtv4EJCrMxjXYHI2Mz2qvlMOV4iSf
yFF8VQhi78pyRyD1E5QFhP1ReBW0zcoR6c4Om4pYrvorLodNmUYD8z4DiH9lgEyEjiuX3G3Vozan
NX5vO9tKb5a8vafAUncqTcWFrpX7aszf0sZlzjka4BmyN78kK8jJShQo6sje2dTrMu1oh9uD5+Q1
tuxBUEPZ6qexyfe6oWSeZuR3hHaA4xH39cghXEQtOQFkY4bT8LmxjP1k1Pm6ikuie8fBcytb98zI
N5d+URMmQCS7bRTtihHiKQsAhrSNfp0ObkAp2j0psb6eB3tcUWYT2y7ar7Fd4cOKBDthVVzywjjY
Q23gRa+iRZpU8dZSR8oO2vgIYrp8FZWC41QPy84gI1GD8K/zdS6KTrkxBwXQgYBnlbmkLznJs1LV
xkKgUXG1Nj6n7aAR0pnsoX5Bg9QqeIVOcAzaz3pcrN0Ol0iGxtQYK7waaf7oz72x9CuHKVCg7Wun
q722tzezbX4uIxAEw1QfOtv47NCn9Zw4+gpVCLcPGg2PiFv4mNZXIxqWahW9RRV2Qa2Jt6FgRkdk
x7IgiLMXzSctjhkeI+VdAFPfpVGCN7Bv15EjMSU6jGSjaYeVoaju0sy7C/b6e4awJMKn7S7Uw1q6
WG+Dsa08kk27Ze4DUTCY1PQUqrMsolwnvhW6TJ4jq4HMkcdERbsfTdbXOHZfTI2hTDhAddbZWRYw
kZJTThrOMoijcsm6ch9M1W1umIh5Ev0qSG2moQXDc20cX/o45e4ZKmLABj4P256fE8u/s3rK7D7O
3wxtsNZ9rd4nQYpjgYCqUXEiAAstTjbla6s4z4oz4axPwqWta/iTx3fkkT1bhVi1+pTsSma/6Wow
6ooTL5+GO7tadWcGCJcp/7nL0f/eJ+Qc7cx5jC+WPtxVFeEmc/mWgZlBTIVsoCi/aG2FQRW72qpr
8dUlA0LdOqL5bLSkufvk7FoPubsaN1M4xcesQDGpKDd1F7uyIZBWoL44F3s94XLooQuvdsti2aSm
ucDctQz0Eu62fkJjm9EyIcLYbpYlz6aMMjsTpPMUOuZbpCLuZlnjkMVpK0vLZR/SF3eMVzmoZ+JE
Tlz3HHQGSS2zflPn2op0tZtC03cDA8Npsj1LCR5EgkrUMfF4qwd3CC6MWS5TFp7mpl1zWFz67vSl
6zHBhHbsJU2brIiMXyakntlNzRgMvx+RxGfbJpW44gxEdpeHUg3+nYthJ3YUXJvK1dTW5PG4ycoX
zRviubWoxkeleTM77sTeste6EdvA8fIBYpfrD/Sa4m4CfKf2k/1gM/feVFUtlnFAyJ3plG15TnT9
KSsMAtTmirFkHiBuj1m3FklhlGg1zFnfANKsl05K+8TRs4ekatZ1OzwNQ/rQVMozOBn9Wu3M+cKG
V63rtHqthLYLa/3L6DtX1TydXRh5Xp7hZzM503pA5ZylEqfROpsz987InOkUZOFtFASf8B0ryyHp
0kONZYSeEENKsm+mpdGiHxZ8i0N4F0VF7Lm6su/65gnY3ozhUM/WvsS8l7y+RR+x9yzdhDWgU1LL
a7pyvlJaR7mzYsyb0+QOq6AuMNQgwX703aYDRWZnW55mx6vS1jOsvt8yIR02eNSKpZ4VE5A3NaQp
g/46aPHuYsYzt0PqaltaThdSGG8aI2RyqW3iXvaRFP8zAt8Yjop2R0fsqdbG28CsrZ1rdE+FO1DG
BrN//vW2K0d0P226EJYdueMiJTJle+D74YPFsRBpUNVdCgfcmnYVO3cWr9qkqRf/HRr8x1MExxTZ
kKUlrqFLtcEwyObod2O1pinGVgzNcHF8gGgP1bQOlYdfv52/u4T8+XeXGNIqTYcuHS4lD+YE/Srs
X4zy9v/hIvArVaSwnLHkqev7izRhkiDrHIaLXt9VxXFUzkq/+/Ul/vi18FF9d4mfJLeymgk0Yxwu
hnObVWtSj1ecQnL7NZ7+5ko/DYC+fSnfXUm+ku8+sTTszcwixvECK3ah5ZjWxb7LsFCt+gxw4fyt
CPjLga584T/ebxL3KWj3ACd1YXv8eLmWtOi5brWBRuWTRl/ApvMSHqbs35bgN9adnID/dUvw8Fb/
yYBE/s5HnSGVjZoFEtaysY++xwP+XmeopAAyOjERn1i6ZVOCfCgbob++H/41Qv0cvFasEh/9QOMd
DOuotmlayJMYq/yDOsOWZ/z/3h60A+mF4fVi3GIhQKQc+PH2sLUyACk9t2e7sQGLAaRCOSTlbnZl
uBu7d14pWYd1VZqki0wzCuR91jgdHn47EvFzJPD6X4V+0VU7OuIMfQkQHNQVgKzOvpQcqYZLPpRn
FOTRHeZcGEMQGG0oR3Nz7ZDC8qKjebye8inYlKovtFXAugu3My/SyBPGHK5beHjYe9AZEvHmKxm8
K8TvAB0zWoJsvSMwJXy+emc1EZavfIy0fZYNc3EbzFOiUA34McciMJ4bF1WLF9kYise+tTxU6PFG
SaZqNdAf2/SJpa2GsZo3amKR096HnbZN3MmaV3rTTYE3CXceV2lHQ+5U2r5Cd98oFcAI5WyduqkJ
6RWIwrqNLIsYQaz5OI8ZQKFECZP2NtFTqG6WUaZXo7BCsals/n0KmuJpHgw3XpQQr+hxjmFh76Cg
6Orq/c78t2tvsB/89SN6iwAtghXyx3aA/L2Px1Q6JQ2LjdKkbY+RnWXy98dU/w8PIOpA0gd0fCP8
6KMdIFO0iDeQGSIYjHFa/v6Y0g6gcsdESZOdUCrZRPgHjym9oJ+fUyTBCJkZ1uO/5KWwVny/a9Bc
b8AFW8VlrFV7nfeGJPtziAFRCGKVrib8CPx9kFvgIJvqQUXGhBgEdNouddTiKaJNeLIcKanU9eo2
7ixja45dcx4Sv/xCrEKGBBdHYpji+pVG42hZugq9xkxTxksDDeGqimPjmZiCdq35KAqWvq8hzs/9
/2PvTJYix7Kt/Sq/3bnS1DeDO5FL3oI7bQQwkQEB6vv26OnvJzIjiiCjCEv7pzkpK6sokOOSztln
77W+VRzTsHK+2RgdxJSRSaAo0h4zFooK28xvO1sY99lgNdcjSODzro2sHY5IFMBWL8EKMUT5Retl
wnK0Vn0pjT67M+Ss2IKQARRSBe3jQCC6T/839nljRhxWIyfIaKgu4aLzOmIxD+Ow4pSh6IQfSiAv
n8uWiNyDgjRWTPhOUig3c9dLL2AGFrWDnqFlq/GdNfAhqwLaNNLm6wgPl2uPPU2FuWOVgorsSKUJ
yVmPJn1NQJ9tFbggYGZ6oLAz7DVSQW8v7rGqJYNaAxYhRNSpg+neHBfriwSmk5AAs1iHkWnsRW+K
624s50fNMHCIFGosH8IlcCoOFWcTVEP4xJMUY+uf58egjeYXM57uGiSPRRjvpYWzmCsEVowGeYW0
SUJ4BUpProOwpUOoMMxMl1AuowMI5055yXEmHsN43VKkI0gecoCfaf1Vt+JsR118q6V1hDazRmK1
dOUNWPxbM2nNazuq8l0ndc5tJdfmcXLAd+Tq0gBmXlTeBK2cv7QIJZ8ka5T2WgZFvJpyilkFvW3H
KWaQpHai/8n5keNpXL1aUtnu8CoVV1iB2p3BcfohnBXLmx16MwS7J2cWjdPzVqqTeyWwytU4E8PZ
pnN5P/eTdODhXWLVCmBTYRPcQWMZbws0aT6Yh/haiqfqIho4ggO+t5g76PrASKjVFX9InKjz28lo
ma4LHIEQG82tOqgvjskkIiOrcho1+AhkjLtyaSovVVnh9QeU5DpVu3TFUQ7/uxb/2ZrljPHf1+JD
XITt3xdihR/6vhAzPqWHalAXIZD6W72ENwIxB1E0rICs3t/LJfOPRayIY86GxPlWE/0olxaOPhWU
hcvcsKAJ/yM9ibWczn4ulxZXoI2DXCcdUdaXZfpd8a4EGqj4yjKO0Sxpza3qRFmOBVzkihdFEkxq
GxlEfN7aqXZX0TxF9gG/Gjc2cPWFaN280a27N9K1sM2WZM+ygeRu4ZIC0NRS3LRtsB+1DMYJsT5z
elnCmqtgzmHPfZhGlVgNTTsKs6g9fQHUzdaEwr+OnkoLhYG6YOxoJ0eugLg9Qbijy5mucjUV3gj9
LlKCu+qNh1fiqxNe9sbJS4knX+ULPG8wGtBZZLxbk7kqeyJAz3VJmFsB6jXW4wBGajb6ckfWYVAM
1ZNKDHw4JMyXzDxYKVWxbiead2WebJHeb9HBdu7UFE+y1iSbDKipB5jlNg6lZ/W8KsR5qQOKXUaJ
TgZMP8iCG6W2L3NCkB0xbJL5UunM23Fov5o2ye9AmZzzf1/EtxdxiQn77y8iuefd4/9zH5unx+YX
eoblh9+9kLJKdhnqAwdrjMwj/6Mykv/g1CKj4jJUCNlL+fP9jTT+WGopKhbTsa0/UZLfDzAMXkxO
GzZv0hvD+x8dYJYWxs8v5HJ6Um2UEQxM8Oz+/EJqkSKh4cn1Y5Q/zO1xmu7ffS0Xf/6m94l0+psg
4ucrQL3EiKthEgA6afFHvn/l+6DVu4BS6djPxkIVeBWVfsyC5MpouteuUUB6N7GX68DBFanYkS+z
berE7y0wMqZk4lAEDVNYBFK18k3SR2u9rb5JmLJwZZz1qMBWNBtHd46ykzIQJnmmDV1Nz5jYjdGd
gEuF1IQMU+tcrLVSzIgFZGM3RW3wioOe8F/OQZ7oYsvT4c1+w/AUwByn/avjNXUbOZTukowRhZPq
z32EDwaHTbjS06g+KEuPK1Tsk1VZkp/ZzZ3ThByv1IX3q+s496dRcTW1pORjVuSKpiAgNX5IVfUM
lTYT1FycjUyht1lRbon8mb0mqG8CIyMVO0ZjHGpwcosHSR7BRuvTa55Kp24C3dDm87zuddsLGfJb
Cfwa0oc1AjdTWdoC9993zGBWRi8upxRryYziKZwbDwHVvrasx0BBLtFZCV4wyevT+LFrA4DDls4M
y95mYXKSZn68GD1cMvdtGjILtrZ5bZzpRW14jTqcZ0yATbTdTVVvTVEzC9GdL0k8d1vUXhdNAAWk
ncGGxlDEalZdISV7XdJvMDylrjprKR1g/TrWipIw2CnyezveCTrerpHQ3g4Sc8MEoyU4K33odccf
SYDlXlDpFd2wjsJiT1tm5ejDV73UoOYZR7OlQd3NpzRGVJEHsEyWmlwfzqOx2ZVi3IVTAuMJ/Xbu
jFssXWcc069NpcTwmmRfwT59oWxCIt+vy8bc27NBmHrzAO8ETHvnbCStvScxwsMbO20kMX9LEesI
NB1NYHhaOp0BDraRYeBE0kXBL8U64uoWcg/TeuAtWCdxch8GUMOmtkvWUt/z2NSvoky29kIU1aqH
vpHvJUm+bi269WmQeMNEfpORPc1pcJnmwLcjEZ5xyE2BToI80iXrJsKzXYOeW1HDJ66c50+OQmKv
hMDPtxkandvLkC2OzRkgCwwlw7xOHP2ur1qMJSr6iqxa3p5kvJaV5CD1QL7UGu27ASnclRTjarLR
DPWCfjWI6hQ9n9b6TlYBbWM/88fWPIadavqxYX4BDIAOqA7sJ8I24IHRLyndoTIxW+TNgPsqFxK9
Ceww8XFqYvOsRrvuOXwVjKGqcIW2Kl2y7SMPbDJ6iF4iaW7WW7foAjJkbRNTe97Lh8o0FjOU6nZ1
c4Cjf6r0qt0VPfNHbI2oL9S63dLKS/ww7s9MyBNum1aYfmZjA7fD8edJVVycB5VfdnWpwsPOTlYm
A1mBPosKhr84CKpnYxZfmkB7tNJ6y/p2nkRKTlYMuhKRSWdBqoK8yQCipqYxoRAp82uOXxKvKsTT
r31aXI0DClRVNfH8MAdVyVZPdA82Qu+VVXGwaosFUeFDW+Nl0TNrrBBtsUbtQ+ZOGaLYZEjQPnVn
WSJtIiM6lzP5a4poi/PefnSCbFNM6YOeBIbbxt1qtAPzoHScUQM9tp44Zqmrea4XBG095jepko9r
5gYbzUKEpc1YEyJ7Thk3x835bKdHTa3o17SXSm22q4xJA1nDhTuPhseSt1M5Q/uhZja7TAy3plTd
5CpkutztM69tMDSKEWYja06/H2WzfCiW6eIUS9gvItkTPaELXA6zBqzLU0kzB8ZmajGDSKJhU+i5
gGfjRF+DmiuofXZT5FrskT/q7HvRJPssCY8FXcJVhnJw16f4YPXSujHqEkOFnoBtzVVGeUIPgrWR
1jdmIG5sAvGWgFswpH3Zrg2kc641cqDluEe7DIQZ3tgSeR0n1mYw+rsmzuz1ZIsYBGQ8RuxK4Bv0
oeAWj9VaQ4/kiby8N4dqV6Cymizh9215koW1T2txK0eJPyBYxUYf3faZemP3tYOtdBp2pZQ0Xhlk
hFfQ4HMrWb5f0ho9bdLrux4QDLA1etdpxINukQnDTFS7UxfOOL2CaW336NISBMv+59szNf+77f/N
XMCAg1LDsRaih7nU6+/qcZA2SL/DpDh2wEaNCQuHOV6OTbv+/DJvE4b/FAHfr4OW3FicG38vAjpr
JlIoKo45zsbWVG9ZlS5sEuRYLhtG2g43QGTbYarWmZ1uWzUCFqsyqi8OrFRnBhl6CTK7KOivTPgT
WoRW0uncIgxeyp5TqOAV0Ge8zHJIufajrvtFAfPLb4gjkaUgf4fu/aFxZOR9GdMOKI4jtu1Q3Mgg
lKLy7POLOMsU4afvx0H/T+46wHm+Ix70n+8DvSmEE2k/HKswwsJt6jutZGGQA0aRyTCgP5eGO6nK
yssCK6pw5N1oj+AaBHFegQZtOMmZTc39ZR9pznXBrtSXEPDIJeQtweVlcNBwjTI8xlK8nwKD71zl
vTFz8jqEY8xXhpI9prBplSyMN/OI8KxVMJCjDMDapD1LjbpeOsjgLWqYf7qjrMoaRBa5EuRZEDIl
IhMHqvoS6+Q8Qy/sFwL4ZGXnYrYwLVpC2srKmJzLNEbceeoj6ibMjpFDyoUSh1+CXslv6tFg/1DC
MyOvjDVeZLopCh6rki0OiIorEpIMKlk94fTD1Dsj0VC07CyQH3t93aMKZ128tyVGw9aobAXttkxr
Ir8g0dOtTCLHEd3POqXHxGvmIVwovUnKt02H0zFXpn0vD49prEbPJK9vZJitoPujc7WcGVe39RoH
JUGV6nSVk72FgVxxcT5Oh9pq/zxU/deZE23OXzwPS6uUx8GWFbTLPz8PgSaVGJ4NxgqK+qg5be4R
fJ0dTfgq6Gmih7Bd2l9LppQ5kR1GmAUr6jnfCgKFCIswet7zjqCHcVbPjdK+0/Qiootl1OseQ/wu
NzA+hqg+3MEeFmaNnm9VNnUPYHXt2Y1EPcJCJOdlsYqN+jrMSVFUohbdLe09t6sWsCJk5nx+bkrz
kRavsRqU0lo1uXprqsTCtfT7NfRIZklQZmNI4A1G8y6xzd0YqN9Ma1okHCwDTgYreLohuPPMIoit
LrVrgL88IfCWhXptDAR7JNF1HSM5tpyNKbo7G+ClS90o+2bdUwvWg9/2oNFsowXGhWGdOQg7hyk9
SjwTtGG1e0WT7pSI5L26mzU/smSi2RHPSlOJkKXZyHKycwCYqli92Y08PcWWZ9vjwcLwMZJhxDaP
ezvrbjRmMY497dpSPGqj/FxrzWMBLY0glnOasl46pKcSKZdVmOsRtFhkxcRqEICrOvFlWknpTtiz
X7bCN7PAy6uF0mOGnEt4GQfJucSL/hpbUoBAV17pPeGuHdoKs408FWIwLZ8zs4XuoNXcJYhgPgP2
1bhUqGmPY0KBxK6MsB7Ir5XiCyMCYRaVazWF2McuHo3h1lay+6FCowkSHlk3gPFFAJMF47pjey+a
HJU0HUQvY/JDaM9hJtDGchAujQrh7q3MojsTvpQQnGqM9gU0021Y4J8f67PCNqh6u0w6ZRWIOZFZ
ez0k6wW6PMrZBZRWIV8eZeRI1XgutZwSMqIHtNwve6sg8PDCNHwLSANwM+RsJrhzfRtYw9dKpq2c
y+emgcJoCvQzzPQoIIIgOPQq6Uct/DCcQLi6x2H2KuqGbSm61iNzftsMVCFWuQxuAybEQaP8Zmv7
zZuqfRgAqpEjEqdK+yMhShhgzoFkr6aB2MbxlDbnCieWz7eKD4N29IwWwNcfK8MSlPnTjk2CFacL
VoayfFGsb8N0hdeqCO9Gffv5hRb6y9/2JKT4Oi5LOoO6seyM72qDse2GOpEH5P0KuVJoz9qFZ3xj
tGG5i0qJZ24aDlUVyy6aIOXcrunymgluKwJUZX/k96K6l14Z/VxOhUYmj9Z/keLyVMrWdUb5xqkH
mZ66EFUnr8AXlnfxQ4GIQ4qy6irsYcQaUYSS2OgPBj4rCgtfKDLq+yDYFJ1mfXVU57qaM49Oyr7X
ul2sqQcyw3ZG5ZzGNDw0bNuWlB5SlVzfXsKZaq+mSvmak1AZZ8FurAAzZEgUOyN/nGVBgvEY3teT
03xVF6ig2mrhb77Vn/stFELcvvdf6gedRGrqoDUCezra00M0Pwl7//ld+93v/7BxgAClRsaqfYzt
6yoh80m7/fwCf6uHfv4DzA/PX27mqZyqoTga6kWMB4OvSY7E6vOLfBBd/PUt0XemJFWYKH549Car
HWHy81eQ+6R2z92YU5PcxpP1m7uh/vyML+N7AygR1j+aX5SmyocLiSQu8NBU6pEy5plNzbvJ1oEn
+YMbr766hft1Z66Gs6ereBV9mfzHzBdPvNHtVtt9/gerS5/tYwH47rV++6DvXjZniJ3KCVlGuvXg
gRvyp+t+k19Ga8fHstaslQ3f81pZEbvpRj4RzIOvH4vnzz/Fm2L546d4/3R+1NYEbWarDd/73bRT
fUgZa+fCck+t7kbe5quxOjO9fOMco/W0hTOwvYGFv5m2rHvuvCkdt/VonXmOJ53122LTniIIJW7o
fYFOd5RXWDB3zq48jNvmNl9ff/7RFzfs377A9x/9QwUtqW2cQUnhuXRJVlu3L9W6ulG8egUjx4u8
2Aecsy83F89nfr8DKT+tkn3iOnuiy1ZsPj6uzm/B6svnn2rxsX32qcwPuwMyvqGxTD5VtEO5sZq3
wJxuyKRKVyXJBm7gNivhZhv7WG/VBxpp/ufX//XL+p/36MNqw1JDUHklpqM8l741jodZSomSQJ79
+XWWVeXvz81/rvNh1bFjUgiHORNHampsYs/ytB3NJ6EBfCBLr1p/frVf3+ofV/vYUZYIitGMOumP
kZVy8ruqwsv/vwt8OPNpExHFJrjuY2oc1IQ+oGN5n1/hNzfmTa7w7nWX8souLMGLViLUxQJXqXdz
b//mrvzue/qwuLUK7rbBSjocs9yVGV/flPxmof7d3/HhAevLue2LNhfHcZhWsXnM02k15xeff1m/
ebqsD6uSGYSSoDnHbsBQTXfIOMs6VBr9ChfbKhnV44D57PNL/vLvIusbxRmaEWdJ8npf+8A31YIq
7vqjTpJFsk41or7NzefX+OXteXeNDy9NFjrM6iN9OhqJTv/+Ms9/01X43QU+LIlzmk9YDOrhKLNo
04xGQfWbr+ltf/zsxV+2tXfPcRQz9AkynmPOBm69Ap+/Tc85Iqz2QJ398NT/FrmxyIU+XWuWv/rd
JRX6f0qnRuxRdzSGC1bVc8yrJG4+KmfzbnAv5lXFP7iGT/iNa19K7lXnL7v6xX19oe05tYNb9kXn
bsm83PyOCPLLjdxkmv69dPn45MTNKCsBL51yWjZyUt83mb4rlJWbbnTva+HuZVccXuUnDmfNrThg
6PjN6qUuy9NnN+XDfR+k1oxqR1BLeIPHcHx2VdN1Dpl3Bc39TNv03r26BlNNx3bdbKAqrKTfrNC/
+wgfZZE4CyQd3WJ3lA6lS2jQ7CbfjDVsvEP/Mm0rPz+zNijdX8N7bTVt0lPoJS+fv11vB69PvoWP
4u100HKdmDpxbNbTGpuTGy9V3S5d3Qy7abcjCsmdj+Dav4IV8/J1tbEuCO7wej/awZ1++B015+1g
9rfP85/X3fhQCtgS4Uwclftj7esbc2Nm3rSe1/NZfFDc53AXrNOVvau2NPXOppV169tUB4XfbdL1
dewtRcJfxcG/esZllfrR4vUeGdS/FF3cieNj/vK//3P2mPIo/fm/7L797//8JVPmZ75P7FX1Dw23
H1QWm461vNzJHxN77Q92A7QwmqPJhGTzT98n9g4xjowjIBfwj/KbvOb7xN7+w8QjiD7YUhC9LJzV
f6BlBCb20/vNoWWR76ClpDMoo59ctJbvV0BHUxG31oVxSocsPEhhXgfX05QW1I9qnG5GKLGE5xCt
y4ncA9We7fQGI9gymtqmONB3uVARzI+yQ2oK6sb11IuEUSW+ZY1UIttghDYmcQN0vdhLTmKcW3NQ
IxSW6fiFxmIOWTuz/WIkdMYGQQRkEMD5WpkwNItpPCRFtpbsgVmtmvRX3dDu1GEyH7IJ9lybRAxz
SQHK5HI7Y2Aa1fCqVgqAq6aYvVbFbVXkzbablaPTOi8kQl7Gmn1iWrXDD3JNqOAGJdydFNrVoQjK
Qx05uybS4x3D+LsMvz46yutcNW7D2J5cjn1Mh1Ktulba8J7cq51mVzDEgnvCyx5pluN0HmpOLd0w
btoIyCINbDoNONeaprLoHDmHWsPCljYq5JXsWEOLJSEphHQJ8T7qTh2JzN3S+nC6kpyAcaQirfa5
lVqrvOy2hmMvwG/CalRALHNBvLaKlbLSFOaAYj8H0p3dRJdQyYJV1CW7PiwQGlrtjIAHBdMCOKjg
wFLmlFuQZPcpQu+0JMTL0GD1hSKbV2EVPbc5zVNRKYZXKGJDevme8kLb5LZ6LCpdJeIg4wzUNGQk
RDp0zleUlPLWTE3HD0L4FKFhesjvX6UJhALH81O9KDyZDBarwapv7MYm1ZJeLbTVyyxst86A0V4f
SphplbUywoKeuhyKB1HMezvUv1lGqy3TS4ek8fme3JA9yZoPkzxf1liUhka5HyvAsE0XvVq5Tqdv
TEkCbpNjbolt2k4ObAKF4q4fXyYbvQODaEgMVbhO1P5ZRCAriGxZW0P6LBARl7D1lvzp2GyfBswc
Z5Nh4EHMF6ZLh3E388jZ0Df8/aRMigX/EhgxKJgBphGHXNsibxKQF3dKtbDj1QE/nC7f+Ax+BjZc
56UsMGsHA7sA0Mt0mETUaCsG+TTzMlwK+AEw7OzxssKLB0lR3Wtaoq1Qy7pazc/MUCCQXSLnsCa5
9DWeNjhbNZOIVBEgarR42uFNNFzGmfHetqcZ64Ax+oSjdYxWYKPKw7BmvvqMiPNE6B3WKlU514A+
0J11LqE0hV6bJcfahOSoKl9RXIrrRoG4WCigOJDWtheaMnlK0FS+DXnWbUwtJYeKs7tO3vlUMF7R
FN5Zm4J4k6voQqxCxmAzMpQirNGfQg74OPHPU5WkQAdXZV83EcNf7IZq3D41vbRRyA+lzdfsACxo
i5RkL8Fp3ithZjPwThQQ7UXzoFpYYA2yXX2QfyaoEzRuRYTmNAb3sGbIRfxoN9NbV9S7JM+DtQM9
2h/JvNgUM6KENGU6U+bkN7dSIm8G2FJM/Jf7G5jMlvTgUDvRJhvHY8wbhQwWcC+g/mjkr5YlqpCw
PCiCLnpO76p0yJaCC4kOyKE5GC0DeLvnDnFcqtp0DeNXrPOCTowRM7tOCJQkhPNgh/DUx0rexEZ6
T/TYppfa6zkdBqDOZJgjOfELUmfavgnXos+jFbF96JOrLYzM11AL4NOyeXiVhNJWwQ2pItPIb/I2
yc6caLhA2Iz0RScdOy+Z1YUErBhJ9xXV4nrUq0Mf2C9TqSp4TPM94qfJR3+9sciQfNsY/60Qlkim
zyqEtn35lS2Jn/peIyCzdRwTLS0AdV61xRb2o0ZQ/gC9QSQUnV4gRihmv9cI4A8oKZaIaBlAAvZg
yofvNYLzB+JAk99IocDxgYnfP6gR4Lx9rBGgkKr07KlIdBnl4YcaAbLmJCGgHU8C2arlg8ZO8Pda
pLuFIo6InQsO3Uyoii8YL6dflF5hNsphOO521UxLfxrMOT1rsZHOfkKWweyjgFhMB2OhmcbzZI44
6bOqCWa/CxuWuHBqthNSG+fVkXOluxZti+8fWZ0eeIGYZ8fLqnI0IZZIi/OnNoECIaxKR/ISZ2bd
DGj6cFL8XA2b2dctBR7bEtTnMQBTNr2c2uQFDuBMbzNFisw1Efc73FMsOAUSLUT4g9hOmuiT11Gz
p3UIG1gGv5xgRNQcR95GhIDupcDOnmJQbp4TYm6GHCIGX8oa0wUKy/4cYSWQc7gi6HiNp2EZKM4A
TDedLKSIxTnUN4aIXs1RIqOhsF+pdHSyihjEWeQHbSopQXk19CTFWeV4iEJyIO1lUQ3jXHWzjqFb
1kioeS0aVypiPCKZyXxAZCjJTMwVxtkilrd2o1OHBETAKXZGHPFchvuqkbILfaHJZxNWB7sqXlIL
OZOWacxmokHftGUX+zIoeco2i/ktRpCLVMazXzsMfCvUFHldj6DESyo4W3uJCK7bIlfmsRgyfCqh
TtB2GVqubEpPZFaEW3PO+hW7q72JmubVgkCzqVRKJCun8PPGJuRU0qnWpizzdu8YMgkmUpQQDEXQ
a1ia5T5lKhv3CcmllsGSb43i0nECYzM6oJnaPqJVO+aEmza67Y4987libviYtnaXFanKspeEwIoJ
FgtGgNyllQlGz0Pt9riON2SN15dgAsD2hSMR2TEVySyUGsQFyVxMaNVsPcvO5LcDQtBWnyp/Uqwe
6WRb+8FUpFslI1wQd1u+/XfZ/NOcQCfhvy+bC97tV6smP/R91Xw7WTFKtGClLgw3/unHqsnJCgmy
SkA9tTDGhR+rpmb/oSHzQgSNb+Cv89j3VdP6Y0G86Ij/wRShz1H+yarJMenjqrnorZnPsXLyKfiF
P5+sbJIwSNKV5xOi4C81thxogYIk9Yp5uzLna7s2NwrxsYaQQCg7XzDNU5r1kBlyx7xJbP1cK7td
niQ+AICg9SyLVHQ/jsbqNisdxS9V+TKUimbXjXGIOwtd35PKJs4ipmgDLKhgyCd0tzKJMRnyXISi
sZ+TBXYpU6CR4Wlej+lCEiaY3DEIj2Ww6lXRDKtrKm+EkL7g+L/VUCG6skoFIzfjzpTEKYrtPZ45
j6Tr52bWgBQUoxsm8lWVqBeOLX1Rh7bwIqBRzPMWJnkD8iUoXkUzJ/AglXWgU2CqDXpfQ51OqLYf
6yyZPIOZrgc08Rv6wtnrZCSezmT7odyRlFtGyjq1TAv4mKSL3TiV0opS9qD01klL0ZQq0WHurRX+
WYtSPAKwQpheM1RfI9m5l3S0o3amXaZl6zOf/ZLGM1VrMt92YOWGXqmOSjD6eVW+qrLiIau+cvpq
oPzMz6ow3ym5+JK2cL7K4VVuDOHJkkCGQduYapw6TZLSztWydFu3EsiRyFyRnqp6gQo/2QAyDEGv
EiwlNbDsDpVUVJKItABAywRlU86G4CNEmVcFA+UV3uBnpLn7QuP01QUMq9uJXAdb3VEibPu+OQVZ
U6w0zg/nUd3UFZuW2eebzkBg5RKBt9M6Yula47ybEOVoJYysqBjWuhw8pQjH02wi3p4UuKSYHkMT
bTW/E3ycAyRmQcJE1NGRJj3KDbAjJA8a6D/Q95yfRZra5/QtEAPLhNyrfWSeZaMG1aRortHA60e1
y6mH1ZDsC8tJvLnpt9EwzaBJMt3HdwiFLVc2kOQ7pHl42XpiUixJ3yFF+iIbxlbu1S/j0CkrlGuy
x0BfgbSsJmdUC2RrO3iCI4P+XzAkEsl4hDID/Ak2QlHkYzVp6iUQHmsbp8PG0RGNjOE+T4kQnGr1
0abS4OQl4pOlqePKgaUm7Hzdd+1IxEOcrYyxeBItApchvitDMK8O2JEw4n4msNROGFYBI+a/adsv
a8C7Pp4hU1BhLwQLgStqycj5eY2otAmqq+Qopyy/TfVvhuH9FlP/i0ugE8CnJbNGksa9NHjftbhF
FU5tEiOTTdunPr0Q1U3h/Dkb+Le0V6mpP9mjXopv5XP8q4C75Qff7VO4+hHZYMsBY7jU6T/2KZ19
aiGKIRrg9ryHmy0EM3JYHYfnEpvx0rf7vk+R+wojXP6LefYPKnvDXCr3n58/Q8NPxF7EVgmV5MPI
xaLHZVMkSydFylZ9h6RK1ueXYIxCNzUy0+01eU0IyroRYZ4Rkl41V06TS5eqNZDzSUersK7C0IFS
73AK9vpWab4GdmyJZ0OCCWlGOEHU5TidQDAmk8yeN2E78t/YhzewonHYL0fxqYsnf6gkZ91wTi+q
VH4Oa47utYqGt1yO8yMBvO6wHPG7kv+vthz70W03D9VbK2BpCszAPPZjYe2TBCzYSEkPTxpWP72E
Xu2fAKRB+1vaDKx0FNDLKkYHQiytiNwyfOCHw9Fe2hR5k4Q+HnRt0wj6ZmJpZzQp+HywJK4mAArZ
nDdcdWl/zOSRqB3644QcdrcQHYq4pV2iKF9jHbF8y4w8rsPIo1S4JDyvwMGjnAsZLKsN9nGMq+c2
JpLcZu/Xu6xz7aVVYy1NGwhn8b54a+QsLZ1UtLLfvvV5GmCowCJp/gwVAUPcFukEbEy4Bj2ipMPD
0hGtXS/to3Qop8t5aSkVaGAuJ7pM6MmjrbM0noK3HlQ6z/EaGwIN0JVWgMNKlm5Vs/St5rcW1jTh
DWrfGltJhBvRxbMYXKPJrTbDGxWZB7vYFc1ADl5LyykwJfs81kdA0aQKnqcAheziXKn74FLpo/ss
MogdL8zHsEEqO7aZ6lOW3adKF/pBV72CUM1XhL6eZUEEYC0Rp4zYFdht+Ws0Gx5pDN0Jk5lY5Rjl
VnpjE1VYoJeTBnPXDLW1Vw120SEReMiXcVWeb/SI/3Aae6VMBpNxXSzsC4TxIx+gU/uA6L2BANvz
waikvdAsGo2chS6MNwZfQ0wD7uPJ0FYq7iWvSrLuDPOj7PU8aCcOBOa6qY36YOoAKqUSkxlsDShU
c7/Rouxh2fbwUSi4lqZ2P05EwWdDqKwNPbCPtNDXUu58U6UWyHl+Wfb9bSBp521loapVpeoo0KHs
1AViEZbzVjIoH3K2erTjQeDb9ksnTYc4I3dFt85ERJ6jlUSbekIUSkY6f/PJFgUaaBx5g3QwlPgs
j+yQk5QRnBd2hYfdrLR1H4XXkZhC0IHZrkkYvNbcJDuCczoCQ5cSrEdqaj+G/cgbaManaShBsaEf
d6VuyFe2U6MeznZOZ/h20zzmDYcwQonob72aeOh7AgUhFq8xvK/kgV02VKkX2XqjKtlZgw4FbFqN
eObdqCN+Y5yyW5swSlXvb0Gx2SDRndI8BZTb+8CeX6tauTLmfmfBn9Ly3Dc78O1yNB3QBq/oQTxG
prYxm8FvwxAemEH+MQYau1S/OSnvcJ5pL50jrnRoAF5eV+eintdSqq8q7jG5MXStFVSv+bAaZhlT
U5A/cwy8IVuXXI002WFQuZjL6ZSD8KN9vwumcmvl5YqFFNOPwfS9mMh0FyuVKKUi6D3JplUxSxvY
ZltiUFd5BRSwndaEXRNBpMbPpo0aXgIjQCM5jbCCVeWpqGTbL+Ryw4SawJc+vFDJMI6HcDuRJwlP
4GwYxFpk8WPdq65ALFHzitBgWiFM9TjmrIIue2mylxKjwwQUILHlrZApY8bizqhJGpo1WIlcg3JR
D4iuB7fUduYaJLNnhNOVPjk3WTJjLczoa5ajvMl1bHKBwxMYSBzB5TUZvK+CuAdWuDVI/lUb2Z5p
03EP22hH/brFWHcnKx34WPvaNKs7O2qvwkFc9vm3QlQvtQxuiyaEa2nxOjaRWgXCS0MdwoQASRdd
/h97Z9YUN7J17V+kNzSkpttSjRQFBRgDvlFgDJqVmlLTr/8e0cfn2LS7Hf1d91VH2A1yqaTM3Huv
tR4k9yfZW7cE6b4ZWrcyG5jKAwEHur7X/H7vtdpWj/O7FKR9Zxv3xDYjzvXBIdvV4nM4trra8ipe
tb63Naz2wgonLlhvsLyhrS3btayx9xHO/TIo+civEtsRZ/TUCsiaaVyv3XgIpnJ4bsuWQ7h2zDt5
mDUXEh4q5L7JsEqwScRVWAd+PHGYdtyd2fUP2J2+dEyDpso9gJilr8JURnbNHmnzQScPYjXbPuio
/nFo9AfZpLdSM3ahGEnSVdw7f8OAd+92Nk+nixe8vyGG51iBe+o1dZcn7t4bw+twQR6I4qIPjVMs
MYaVipy4fDpXoX7gBUMY792kjX9Jw/6pYk48NdQkpu/dh41z0zbtddnat8w2dMIr2jvFCbSvJFin
mUxqO7/M7eiCk7q+GvLo1CwL1Swfp6w7mo29qyqsIVRnqYViY1gOPeUxrMr7ppouDFMeNVPE11pI
3UGfML8jAAJBj9ldNLqO9n+gFsrYeNJvceTcp12BLYwEwZXvdk8CIp6JHT2VzLgS45tTcN7v6ses
iQ8ErV2z3tKfWqyLQ3sE18x7mUODn3XjKbbbautb2acC5DelbLbLLOMMDTZl0kCthAN4S7t1H2ZO
MJhasUlwp/bgHN1ogI4wmQuIAbFweR4jZ5eG48VYTt8qDfxfmz53jU1gI2M1IlwAXPfuRqlo0xB0
EmicELJOBUXOJsF4ct9r3jfsNts20XdR724JT9xQx7D+tClSxnHejkV5nDq0xZ39SdpUb00HagED
WZdkgRaT5lGaBETqqJLxpDWGPORad5qJf2+b6kV5C82s9bHqj6deUMQVOtvfD0fa8x9nwR89138u
H2y00KbjClxLPo23n8uHbmiaRiWldq0X+wT9vsxutfg/4ch/6VFZdCwfj6GLOtfQLQY5UER/vkii
FbpjC0O7HnF7DrtBPY2Syca6oN359x/nVwfeH6/0QVEjQzkZc8iVTEJ0BVHQLuG380E6n1P1JQEy
//eX++Xd421C+E6GBg2pnz+Y6UnlhbmMzr32pVPHOnop85e/v8SvPhGnZQ7LXIY8og+XCLG/6P5U
xWeSXtNhp6Zpk8c0FaJdQr/F7H4TmfiLTyTwEAFA4JEwkSD8/In60mnNSe+SM+kiK7wjK0VYWPab
z/RBbEZZzLf9w0U+yLLaUOtsJ+QiadOsuuaS0Jj139+1332M5e9/qIr7bu76hjnsualODrC6jBwd
N/nNRWgzfnysf/oYH76aKiOepC/a5DxqUFjswE/O5LKxwD3ZgAvaa1O1v7nirz4WwgNGy4g6bAZK
P3+sLPGKpEyN5OzWN7Cng4pc5vDtn986xk4OUHa+IuMjoDG0Lc3x+iY9YxnbFA6jXeKB8vu/v8iv
bp3l0qIVlmG5ZD38/EHkELtukhCH21RPpXNJAjaLLQTekLSso6BtP4Q3f3/F5Zn6sAaxxP3vih++
rNjnMFsZU3rWaY8RcoIu5zeLwQeB4zKKsw2XYR1IJXLDENv8/KFaKZgJjUZxTi/p2h7YPE9oLzb2
TXxrB+RCb38vnvvVA/Hjp/pwybgnGJwxR3ruHbh3SFtNwu1Muf//uXd4TvUlRtX56O5xZsNxO+B+
57D2A9M4el73m3u33P2P346glY/eiW4WLbqfb11FkI8xMaI/u5S+k2dy2vySCEy0afqbz/KrO/bj
lT4scHRV4Q25Tno27NfYu7HDu3r+zfL260uQmmT4cLSZ1P78YRIj6z0xR9m5LK9tgHNjYq5M5fxm
q/vVK8TD9t+rfPjqs6aPuyniKkn2kmvwPbVNI7CzqyDrzlq2y+3ffEd/+liMh12XjiYDFyYp4sNR
wfRDFyiVzM9dv6ubL4Ozqefbf/igfbgEvbQfl+2SSHALPWp+HuYSChUxkOl/0sD+8izyp3Xg/RIW
qmw0dj59tp8vkY5joeVUWuc2f9HmAwCU33wvf3qUuQBkIbq+No03wvl+vgBLJ4biEmE757xC2TBh
Dgl8sdJ/fb9X/3ZlFw3lX3dlb5P+tWmTb9ytj7rM5Qe/d2UNuBJwl0zmgKzFC/7pe1N2CYl1adSS
0syg0tf5/r7LMmnXEvmHDoNwA7HkT/6vKUuQEl8laWR4zP7o1/6Dxuz79va/5Q51Jwc5/Pusdo7D
GOnjKSs2Swo+ZZmnRtZ15V5qOUUmQfhCbwtCTkSaXYO0s7J17ISGoqJX89aYJsMFlAsNhd5Jfq1k
ra2GYtQOtl1aJ5VpxI6ZbXksQr+4myzC+wg5qS5BPciXLuqGC7MYsjthkOgoZOqXQTe6r9ifxV4K
L9xCOV7IqDRyv8Q6UlIabn62bgYiavx8l5nGsJ7zEqVD76D9s5L51mydRFEVl5LOKOkBuuev5soh
I99MzRUz/iJIsN2ci0KFn0wOebcKEVN8p6d2FiF1d416PsxVjF60ob9uITkjLxZ4gsBcT8+jJwUL
FsE0eDioaUf0N01jeAMe0sYU63CmdXRF0yHdFHZSp/daOmMqrvvMdQNSX2tyCxprKsDGsJlkSlkH
0aPwmE3SlIBwr5Yy1sOevjZKO14jzPLtY19h0gbG7SAtiCcQDL7e0nqsewjMU1JaFsMoAMwkGLj+
Ws7idjbaHgt9D5xYuukL6UDxRQU6dz7Z9MQPGF2T/hbCq7GdGruE0xHzYA6nws+nUtv9uyK8awkW
y8Bfrwin1+bl9dufl4Plp74vBybzFsLLbJvMWfwWi87q+3pAGi2rhCNwSiO5XsJj/7sesFJQG7tL
Vjn9+3cJwvchjfN/BKpZLspqC6gLOu9/JCZ4LxR/XBAgxbEmIRtlSmhiTfywK1maSXe0zrJrQxdd
c+F3SaUHSV8IDbBg5jK7dmCXBapO6xvDzdbKLIBOFnvMCXqY7kpeQRAZDAe8z/R5SR5N+k8E1TdH
fSQi6TEkmRxyEsrbiTUzAMN5zbCXFBckT/vKtIFNk3oos+l61PKeCsZ8DtnaAiQ/x0qfz6UzsjSE
zedRK3fE95Mn5o2fZ3345lTubWVJfoE1V/totBm3e3IvWv+GOPS3nld1U6QFXWVDdzbV0GX3IVwR
TVigyPSpC7LRuPZkeDMUKRm6E+rFyJmZ6TbevndQbBXZsA8d80lUAOwHOSkyRlErSLxKG8qLdF9Z
Rb7xG9cjOCB0NkUdP6qMJNTSrrJdlEF6mhfmk7XQn9Q7CGpYmFDMs2mK1e+oKBOtKpJ1+FFxrFeb
bGFKtQtdCuV8dOt2EKechT0lFwoVoYv2deIxdY8MGFUTsKp6oVaxDMp1uZCsnNrtdqA72m38Drrq
F+aVCfwq9OtuXy48LGTJBNH0MLIY4oPLShdyVqhgaHlVs+QT+VMb8W8o6+RCuJpjHPyMWdPWHDJU
9G5mfDVqS6wVRnWXrOBT3CsyzDyQo0gCYnS8C05hq9vFjUDPOgTjJBG4N9lrLtVD3WaXUtejdeEO
u7zLsoD881PjawTCQrmJi2RtV/ntGJcXldk8mVp2mQ6JJJSq+GSRNbzpYu9FVPXZjNyrshhVhxyd
dd5Op8TcWFZvoc2243Q+IWwsV3o2bLKK3EpL9CFzrvigiiXZLKQPObJRb4o5eplHDmKhjtO18pmZ
yIXmZvtlzADIfmEW1SwouYx1nawGKx43yujWbjHdR2M3kshX2nTOCcCaJoZ5OAyuOmco1rCT5B7P
Q8LWFG3GhP8T8fcqpvnq0lIJMt0mY9iGO0vYVA9YJcGGNepXrk2setbYCd3drL3Q9e5INnAfMJcx
CQNoNYR/5hdnJJ0unOTdsMSC+tNAp65s3VWNMNBPFpW/LvA5u+5rEUbfcgkskbcr6FL8ZCmljiIz
j2eA8ZiOskW1E+EWBnMgWpj+1uPR1w0BKERvOkwTdkdxpzEiGgDUujK7KNtOfvp3/3jfP+y/PVF+
QoqG4+fPG8jyY//dQMwls5w7vugsyPHnVP/fDcT6Pw5x7CxLMcZB8z+nSQS89NAoZg3BEQ9FOJXI
990DQTCVFLwBpAHeMun/J7uHq/Pv+qF6xuRDv5z0c930+Q//lKXm+aHbpfEOOnXdFufSIEry1L6P
PCeV6Mw/rfdh6Dj2vbfK3eqFYOovs5zjHUv5Heoaolbcr1M/xJtKRYyFC/gDoO07DyeEEu6V3hk1
eBqVE1Q2ihX0I3IBownaDll9zEVgumshuieq0SAN5XU7dd80J1ve3uEbkf1yExN4q3x4odJLjqNY
ApL89KSxfjS6BBIEpOAq7pweXDJ/507NN02iJmhU87VHSEQY2LSjMfFVG41tPHQMk8Zo77od4MmM
6ENi0FDbDk+Dp93nQA+DNDPuLLt7jADD7BCseXgNLOc6ovLf0M/rVsrOmg05Jc/goOSuJTdoBbj5
JknMaymgb8azScChW69ildwgK7godPtVdMXOapgTieQozCkjgJDQX888El/I/+3vC715VFZykKNy
1gysH2XrPPrpV2uQa11YL63vvzRme93MyYMtx5dMeMXatPR5jZDwrPGPxeYx7Is40djH4YTNGkzn
KUvu2sS64uR8NVt1GKAoYxpoosK1a684pAZlpm1AER10cV7Gx8eanW1lawjl0Egf09iJdqmmHGJ8
cgRlSgdmOt5Dd73AI9Qs45gLT/bEQfrFdUVaF0l7+KeaqjR3E8Qfr09hSSWERlZT7u0yN27WqV70
G6cPgaQpVBdGzt+6k7lvouFz6LnbPFFnR1fXuiwhimp+vWtEydpNRmqUZQfTjrAAdThVxDBPK0dv
DoVmk9lpIvbiRQuDQfZH3dXh4M0Qubrma6o1t05vn4dIP0SpOwaOme5EKgF2ir2/uHSy2bnv0pqV
OfqMvPmVJipIqZn9zCZ/H2WIH5OMNz+WaV2tKTIu6GY8aIoWbd4O95rPZIYfzTdzrtUbq8/uJo1s
KmYZSA0N+Va0GtWMrE5i8q8zgZyjm0ZC5+RwqcZ+2IzeKK9dct94VxqPwVbCnDbz90OnFGbqZnzu
wipd620Vrq2GHcTKUmIfCQ1L7sm+ynkCE3fDu0aybK8Cr+MIwRKPNXkgfn40zDCwpH6cSEMSpTav
izQh31nTbgD1EadY1vPaNYurpDTLFUIEQHGW1QQQgZfp9XM2kinPs3YnrAttest0MIBa1NxKt91Y
05gSqO1uPCE/Yzl4o/8DIMMVb82sP/mtf0ms9lU1TXcmkd8ru9XijTMR1jEV9W2s2uccPx+0toMn
5wuhfIIrjVFn/sUhxGtF0HjTm9k2XyJNHQfZ3ZC8cer6FKJo2a3nbDxZPnkAho62nQ2RM6zKELjj
bAmarnurwI4jYx/MdT66zwl9J5cletVKUsJMCa1sHDznoltMiS2aJHBd4pFVl0PY1GA4zJ2XDpsF
4WvEfLEgH1utGdEoKbWN5/6iCzHvmU1068Tjc5rY0aoSmVgwKPmmitAptgKjJE3wOibmsYvHu86u
FZg/WAhjPKxrEuA2ZWk3vHSSV8JzTjkHv40cwyuZW0uSUIhBV4vuOJOgzPHv/BCe6jh5gVP6MCSm
/Banz1UUGfU26rz8sRkw1YVDf6nhHl1ixHix7fQBASByq37ItiyrIojM+OtYgktQItn2Q3nBgn47
CdnvaxrCOCMV7jJU/Mky76Ui2sV6EjEFtVDWO4xCvPIiDh0Bci2/bOP+JrFFyQmVJKrEYsBOh3QD
FZmf7fs720k9zG3qaytTRUh/g1SkNOPASWstiGbtjXh59ou4SXYgHG7KSX6FcRet6pwjuSg8jXl8
RIJYOJdXOv6CFT2PR8MjwhxaBVKDaXQQTSEai/GwriVrtl2VOgm4OiLSTn5VfvIgKx6kIYQ7i4EE
n5nnkGxXNMFgYYvrcBNuKd+4p32CadMa9n4kCrxwIuOlsTn2i/6e2f3NwJ7I+cuT3Jg2ReGAUZDO
C4+bt9RUKX/mLWCOSpuHNVXAadIsuRgK4DnruDW1zLm3u2nXMDG2pX1Oo+p1NPh1rUgfHYfh9gA/
YuWo8hJFaM05kjbAwgFx3XKvG8ahwwUTiMlUm2wBhaCLzg/tXN8jGiNYrbQetElcY0/+NtQ5KOT0
ns1eP2JVLIEk+oc2ia7dpP7kz9ne0pj+u6hvib6VajXBJmF0A5B+QsuxIEuGxu4xU7gvCWJqMnUl
Ht+FtTBJ79YIi3qD7xGaL3HPm6riiNznKjzozfTsYMfn++zNLXrgT2OJ/8QLtQt4dM942tZRhr1l
TKudrCU/71ZnmfXGCl5FtMF6+VKl8DvQGj4JHZtMWjtnXTmfpXDwtOXjfo6st1QfXNZYOlsmsMmN
NxI46Li5QnrUZiudGe6GKVe3MpKJVKrZeHLa/soXIKLnii+20Vi148kiCMCdhsDR0mei+E8ZKawo
48I0qPvqmCx8Cmrp3TRDKFWWnQYYg/Zp1BE+4qGT1jvAorUZloFcyBZkqyNUIOiv9qJm2+OaJlm/
79cSpYrMaEdPmvNQAC5bRREo0aLWPsXNcN/4OErLBKffkF+ij8Qvo5iOQBqq18gj7jrHxUECCVNF
2GsK3b8XMDIjcKOB1YLNLCpNBbXD+2TB1BwjTH4mlE2NkxMvJOBNWnpf0aifRyLSogXNqcPorB2i
zWaonUPVB1rlvDm69kmzwHq6C+Az87M3d0F+mrn50sMA9dnJsXnbLzSrdrUHJrSEFxqWVrn2F4To
6GQPUVHg/xkbM/AUHmKt2EbhV+qmSw4GYuUJDeekSi8quzGWXNr0ykzkIVzwpR4c00izEU0M6ScD
0PqqgnXqYnNAnScPwh8eRs5cyEVxcXXITzb1AkudbHyRxQJQrReUqjcAVZXQVT0oq543yVW2gFd5
794cEwMZzwzexcza0ht8rPrF49sYGIwBuPIsnCwn6TalDdSJfNQ7Z8G92q6BD2JBwNZNeRoXKGwD
Hdbwupd0wcUacGPrBSBLTvT9nBN2OuWfzAUxOxCDLV2dXid2CQ8bG45tgLQSMm2FU61cULX61HYs
h+QjdU766nM2RllPljuE27loLuYFeYs97WDCwE1SKnPQK9XCx2055bkZS1+8sHNjf8AVtfB0a8C6
OoBdZyHtunJ8sgrOfD0c3gQgL7GHB1IM13FWPocAe9NOIVqvL4qF5BuRgRj2BIkTubpHT0TtbmxG
mxTaEAzw2Pr7SvgHHzxwzRSPXEuamXCDJyvexICEsUNdNoCFFUBV9G29edGmxhTUkQuAOC9n53F6
xxLXmt3zBzYTxzVEjUDZ6Cn/rUH/6GEyaPybHqZEav7nCtTkh75XoO8uUg+xydIepG7kr/5bgQLU
sl2TQTqG0WU88WMRyjwVmIQNSRsYD+Xpf2rQd38pdBe8UmidzSW54h9MNJYwiw8l6NK8hMtlmPwu
qJo/l6C1rEXnxWl8rhV6zH397tW03WsDEyAtl+jdyAnuZHF1gh/V/XX7bvecOo73W+/dBjq8W0IH
r91jfLTC5yorUsIhhzLXjnxoWC0Gkl+wdZx7o7PIyqSAIi9i1kCDqF0mrbPNa0wcuR8u1sPSZZXp
JzZmZGwU6NOqmZRLvEyTgGJySaetV3lqcxYf3cbe11HjpwRKsNk69ZA315FYgg0UFbS7idivcUt6
zlqfO+BWNv6Rf9v3f+SlCJ7Hv37075JXFMN/fvaXn/r+7C/tex22qs/IDDrITx4Lg86+Z75HhS+d
GWZ238d52KRdZn/EBvxBk+MX/q8Bwy8xl8hktAbonP5RygpGjz89/US58ArSesHwwSv189M/W3ER
mzLRr8lhoY1ZzNAIjS8y+sYYbbYX/blTXiYeTdpk8M3LoeLPG9O9dozyWtUV/oDoNlfqS9vOAW6x
cddm8WOJBJPh4K1VeqeKzjGtxCeCaBAsj0yx3OzY2W6LEtcGrxCpezaeT6le8sD6eh7UNQ1SJPxP
DLPWrBlHe2JOZtTPc0xQQzo/ss/VAeKRi9guN4S9uRTLyb5VVIZpOT8akbsfYsC+5BufRzd+Sovy
fvbkpZ/Wjww3Cwwk5ps2lA91oz6DC4BfocA2+9p2duczWGaX0IdqV/mpCga8Z7jFOeezczFHGA4d
7WQGlvQDSowitbZtWvpTU+F9rgeTGJNucg+oqQ10QOKY6jnhIYO2Z1hPKUcm6l5p006KEdBAT7SC
cztU6nbqiuY+t6fnvGKXdWrvIor1B3pgR97dIqj08RRlFZaECACLnZb7rtfSYFQIjkR7cHx6z3UI
OM741pbllyhU95Nnc2wC37KavQFcCpHeeW2dcle8Wi6rDr6fe4YVqJV0wTlMhNsORfpqGnpno4/T
Pm2nHdHQm4qaQrXcsyjKxXqYopRVMEuRqF2x/BnxJnRTicEvsccj/hcyQESldwfp0bXuFh++YXZY
8mupN1AgEoH7uW2tzn/O+3o4pJ1tdmsnQ3S8Gq1hEiCoJMHvuYjXUVzXAXv/qVB1TXa39VLGTQ0w
gJwXvHUxB3CMjKRTr4e5fYFnIuBE12+LtZVsmnRNfPC8co0JMo4NbGCupqNruVdaTLXVmRW/A8G5
1OLHfBRPpTci+h37u0qBS/e1KlmL2v6WVu2bOY2vc9dMq97NP0doz1a0TE96PyL9b+mhYRncpENn
bYTdc9TlaG/52V7EzZOX2d3W0kS+sUPvaVoO7ZVw0pXjDt9azxxWZT4svYgOi2zSeoGe+tEpj7Sr
CBAix1yMlmP6TYzt2i54XsoogLp9dMpyl8rqhlEFR6BsvK9EAkJIRrucdiIbKkEauvMQVtiibP7E
Iyo7muubBA77JDBzDO1Tadst/X8NITSNxGTNrxpXOoWk5sTaith3fKMxcIxm7Ff4KlC4xfWtmmR0
yGLcrE55NZN1M5bVG2qEJsgFHPptPWUNBwWW03+FIubf7isn+Uvn3g+7CkoQxMjMMW0Tu8T7sen7
iYrDlkM/X6exTs7Ge2TG910Fex5xGXRfBPIejObMi7/vKu5C27I9H8IwE2NSwf7JkYqUsI+7isdY
2MFwy2zYRfO5/P0Pbf12Rqym6F5eRVY5X9aMoQkrlB5lw1obox6L8xwSar7SQNzma68D5Ij1rGjV
RiXpu9VGz0/eMgbAWBFxjYhQ9kkTGCcUY8FN1C3dQmse7JzRaocF5WFQhVatZyicGiu8q/nVoRWN
Ua383nbGG5W6Jk0HTUZb1wZNr8byARM0hBhh7bvS9aBA9h0aDL1fNQnhNirS2m2ogHFRoDelk2/A
1ZHxod9i1aWTY1A2ybA6VrI4lnV4aQzjZ1JoFxyEDFf0JXaqOuRFhM8iYiKWOGkSZG5HNsboMgnz
0NSrcCaYaJwfyPw/00ZUq5zsJFoELBS8XPS1XVgFhXexdG3MZVyYqP6xw+8FjSI/Folu47aZzq0s
p+3g9E7gKF8FYV93IDDncZ11+Cp00qo2k409wNPNjQ4ta50qJiOD13/TxHjMNRpsCudeUITGt3Gs
JNURPA693gNFyIPCyC9Tz6yCJVhL2RPw5nq4hOWhgj5hBjgDM9AE77+ryFvMwqBYGp9hE1YHVKXR
ahTyKjXlLbEcAZ1rekJzENOHBMpAXiE9BqBLXwXt4VUDlKCz8ELmGchBQfhAFV2IsNg0FW0z2nBE
PHVjumpymW29ydW2mtWdCm3GgZ836SUJZDsjih5UWabopv1kZ03QdTQn4hzQwAfygQvU3UWvGBrU
evMQAUpbzcTfIlC666Jx44xoCNIRoHOZ3kZlf5nY1jqDVMOiOCeb0Kb2rRg97ZssjAN99M/Maek/
19arzI12b1RMjOxSXtlG2e1iq9iWVnaPMPVzQYNfVvW1FlfYd/yMQ0fOmd3L022aF58H12PbI2hK
t570CmKHyyC/H/K7MbMPZQR61Vk8XrGHWHsi75YH3YyJpcdPZfkzuS/D8FBSZ61Ts3sYw+GzIdpP
omWkTiG/K2P/Om1tGvxYDO3u6+jiLGpLjC7KzSp6wXQvPaMAZaHuwpTGgUwNhY8oOkStiPZ1x+rv
zE841L7UNl3eMaFp7afJgm4SRiB0dd8nbKdGJpK1dOILTZMXCNaeyxl/mR7V5JtL4w5d+DZpxKeq
1eGMyfOgJwu7zroTLr4xL9bJBBjZ/mJxStxKC6CBb8ckx6/qljsS356LaB73ZMPtVU/zhpx7Pyi1
rMRpl0sYEuVTWtY994cjWj7O3tHXJw/SCiYXfW4uEyfbFoPLQ2ri+Wco6UDeG7Z5O10bhsCPRgCe
bOqrynXv8V7FFwRB0F0zxtcs8W9TQU/QsaqQoRF7fztPb0NfkKHT5+U6jEwRoED2SNPqDPRhwGjC
XN05YcajgxqHBDS6ULJK6E1M0g6EjPdZND47cUf6JXv6ZnT8k7Lrk6GJ1wzXIJEHpO6QUs4D1bnb
WdPfmkEcI5nsJ2C3pRuZGwSnB9eCJVExLtObut96o0brVDlY5ExxiAjtgVPAUmKY6cnIiouJ8enU
pUfXNzFfhcciTw9xV9+Fcf0Gcq9dl0NzOcnw2oF8VVEWM4VFF6JjhDr6rIusjWgfSNLZuFINuzST
D6XspsAdUNzlJBrYIaFgQ0ThmvTDZ7/tUHdIcn/6EkcnOXNPo9VZvI7jFl2bvqTgSMI0zGKLuuLB
HF6HBt0bGY0kmU/iGDvF0zhxRw0fZ9nQmZuwl5/f88msljwPgRI66mw8hi7GLQv7WitffFN8mRv9
rTd4GKrS+VQ1fGGDoKVm513LElHW27pwz4xyQH2FBgOlQSPSrL/CpXnLR8XUHV/P5MFtbQE/LOo1
czXn7iWDcWtNs/+gJPUFqpXxIAb7zqzCx9j1512TJ6/FQHc7FJzsDKTA+zbr76G4zAFuGEA1Y9Nj
Afz3lPRH44mez19X35ySutfm9Rfqh0XK8EP9TcQB0ljU+ctBiUPU95MS8jlSRVFTO47zn5iy7ycl
5//QIxB8gdr1x86TZS+YYB8vhnBN0km50D/oPJGY+vGY5OMhofME5BRtOi2tn49JRZULJgYegeLW
3G8rPRQ07d0nl+JJuurB7Jz7bL4JYdyatbExYd6qLroPFwguXnCL8ihb1/BxncsUVq41ZPfFAs81
FowuFM6vTkc2AWEjhwrSrh4x0mZr2dpGQwrnguMlUuaLtgB6jQ5Ur7VAe1nmwu0Mx3dIiJEMo+ai
HDBtpVb8UOBkLSf/acbtmlceM6ykfp7S7MaPrefGMR7HfjIDpxuXIakMpjiT66pOj0oxc7YJmn+Y
dO9L0lXJsSTtc2MMxHHqVXqfqfyLPrnzQRRYlgnsoqsw7+fa/NK3xZVPm3xy3Du/2WWEndW+RFGV
DvcqTp68RNsPunxoGy26cKnqfKZtRdlfGSl5x2Spj1NyJdTMogvCi9baN1l115we4bo7w5WfDNaK
efdByC2a11U8YZU276L61OAI77Kn2oxZ/Kp0R3tjEQL261zg4+1sIrWy1MSrKsKVtNsWxR+y5BCG
axpql04hh73smGeEidoMMsVRDtNIR30oqLCCPs/3tcy/NTgp153ZIuxq9F3jzHGAuPo8ef5eT9me
dDrju7jEE54Qm5CXXC/HymxHJK26zVd9npJ1q2NCYnwi8YCOTuivPOVe4lYFT+RfFZVYOympZHJK
QbDSQBHumtkeBCOBwzzX6cCUMQt8hGs8cAamYXkm6C26LRicpEM44NKRmBKfOIJiPjNLeKZzfoC7
1G3pCwQheUNU4tPN4EJTdA3cY7VFWikwJFGnt6XBmTnmm9Mq694moKwu8maD78S7rDXjkHvyxNDt
C3FQn+OWaVHtkXkzTOF6dhy2y1Shi2s4mNBxOPRTJ9d9nT2ohLbsjB4VjXZxA3jXCrJ+3BPHJ7eA
aZGfTM6wyuTBMsFSpS5Gf7J/ZFVdiybeZo6+AwOH1Z3zVNWTUjHl1l0KfxbY7rEzhpOcqUwIxLgI
2+4SONjBLNS8yvXqAEXsa9pGBz+Odo4w85XjtZ8Ye9M20O7xaB70Ul6oRrxKxzlkZJhqevmlbPN7
J6u5qfNwKazmaCl5Un3WrTB63+RFv4N8fykW6c087CtfHozFDTMJ2rrxRSTw+TeTdazy4Ti0+lmP
Rb5VUG7DqHscGKMywp05VnXXlQIJB4juovHNWzupjlnS78HLMGLNC3VIe/Na6M0pqlwc/D3pHhMg
8si8a2X7wJZ4DMf0pGJoXtF0W8LgRPwRP2Q5A84heYgyd2dHcl84iXeY7HLHSH/J++xOVuknAfUm
es3oQJV5U2g9OFi9DmLVHAiqfdTHIQ88Pc/XvqluodheKjIOV7OLTx27ySMt7r2r2Kunbm2OM8WZ
V56s3Pkye/5u0FBt+hzTkv6pJLWptfW3uY3oRyJgmNvwMaEIprSb0ZLdmqjlgtwbcnPrSZu1b7SQ
jYhi3jROfvQjdSn87DB2Cl6H4R/jOL4WfX4Mo2lY4eg+0bPDdu2Xi3zLW2lNDlzQ39XSv2rKjNM6
VM2i1o1NYhufE0NdjoZ4sDKNjK70jmGts7Y8+2tFAq1sIxQ4w9GItIdR768tw7jSsxFXhCs3zTQ8
mxplUFJFtClR9dR0DXFR29tSASZEHfWlosk0+ZS/XdLsM5nusrIa1q1jfCam4aJu+1Uc/z/2zqS5
caPr0n+lo/dwJGZg0RuS4CCKouahNgiNmOcZv76fVL1VVsl6y+0veumFI1x2SSRBIDPvvec8BxV0
o1ygHFCXmnFNKIkXRfNTnNpXM6LL09ysyp0ISA7J8oMiaWt+Rd7zbH5TS2tja/7C0AdzG7eWAXd2
1LYJJa2mBa8JJ0RmEFK0Y0+nqsqRWVWJKhSkqtqVSQMwDculNnK2twKxbbLuvhmiq4pSf+qCa79u
tgh9qPwG55YA0Q2f+RqG811bhUDpjfNE5t8K5CuxBeqQnGHTKI5DG1xHYm5WjtVvlRTKzIyWq7Eu
5lRFnuVyadSjwjiUYeV0gcniijx6Qv0QGhPlJ8XFKmBi3To0pJpYHlJXLfW6oYpuTQaNLP6Wvddy
GtoZQol1WFmAIiHG0Nrm6aRHARpoYdV8JIS4Ww6MGzvIXcI7TQeqSZ97sxJVC61n3Bv0SBf6Lnvq
EV0ZVh6v2WEAxzjQrkvSb0cANiZQbD9UotWYgikrerc/IYILjwcaprxuAAAZwJenHJlHXKsLNLqO
Z6bpXV8EGhW7VUN3cPI1YYS2sshiKyNzMDhFaV8ec/rj97Fqo68x51pBzz6YF80Akjp1ZjTEQ2o4
aCIgPSNaJzZsVpVTmEMnfRmda06yNsbYs7X5Fp76ZVDV+67S4CWh+NFSkMC5Wt376HYkdMCrVeJx
+2TcdOQkQgtun3p64mriPBi+fugHADh0SjPiCck+x3PdXEO/mFaOHT6yst4Kvd5CbDoKc3z1Y31P
mjfS4hA+QsSpv1H0+3I293aUHfwo1TkhZ8QiA14ooUZ0bNHMvIB21P4xptGRJsVl2yTRAiX7rgys
U3OMtmo9o8srd2Rdk/spklVkg9yzYv3CHbKrFmJhX0zTKsvza5qtOa2JZE/RuRNCOSD+WXIU2mhj
tWt9d6Mk4S6wq31QtneWoe/TXD2pdXZa3VknTvlMYezFSXAx+pwUJiAesx96+L2WZtW+ZqF7quT5
suGmG8duj5jsGUh+sGjcfFeI6LLWGKxoEVne9Lf0zNqGo7hqEjQ3bY4cc4I0MtmBN0P983viQSVd
r3MbyMzqNuu0e3yZKMTUcW1CRddR/XO0qIgJTytW9+Q+JScmgB6Odkbz3ISBYhekO6WMb0GRbpBX
nDMbJ92lVa+nAUtBXN4V9AGpnDXJco1e/LroUYcNHRJ5/WwwxZkf6KDMWzKv45KcTHsTu9HOjYS7
Rkay75P5tZzMs7YkQ571vT21NG6WoBhMOkt0uPAgqZ4/Wc6xUIuT3KCfkDKDDFtxkRrKadoC31MC
fd2gawNUHqqLuoHkEE7WgzmASHJZaQBejKfj6MCpGYq70ZwvSsV60LTYX5dRdS+wosFx7dZJ06fQ
KfjUjq9uXbn0oIVZkKgaboM6jZcYKg4lAuEkUOYjeeD7Ug1QuVhE8lV1RqU4IiCZqnxl8KcpYWzR
EwcajeUGyuuOngHRr213Otdy1zaN+1HmtMZITFb1CHSmmowzNYnOkiFZEtIc7uxwbk5Bv0syn07K
XhqcDLV/4TbpA5MtYysfdwsUJsAqdnMMsfqDE7ZXQOwv6CNGpy7yFkctd0EprrWAE01hCumlo5GB
JDdLTqtAbDrboNdvZm/YVgjA1TWKWec6aYuTiAo/oR3YM2DwGq29n9Tq0h3BqOelfRarAQD6eM0w
aCLJIL6tUvfBGPVLYBHF3tSRCHbQF9daazzMGeIL8g2leJceTM8vVip1XSBAWZW50W/jNIVkBhgt
XqJcE/oV4kmNMqKu6dY66WRotOJ0S/E0NfLnfx7MxNgUDQ3Ji2gEMCz/WkBpkRBoc/PoGJf4VPND
M49YEa8+lJXn371MH0Ejn2yx5ADIF7FUAxgig9zPzezEH2ska01EAPZOyQ+C2ZNiXLfD9e9fhkr0
gw5BZibyMjYSCUOYsuH1yXvtC+FSBQgO7trbUNwo+t/wUr74/XT+AS3iA+Byfb5WjTtZRWFl6TEf
uNG2js9k+2f1/cVl+ur34x7mCnGhJAbw1+8isGWD1qyyo0PdYZ6b/2E5/lf7s3Qf/2k0++v1+fRd
G1ai0r7n+hjZBkVzoq5re2XQb39N49XvP8oXL0UaqCXd0CaDdvfTV5E69AuHuUiOpLgCr2nFgjjn
wFiyDRMI+vvXkm/708f65Wuhd/FxVCLUKOttK02Ppb6k/2ZSd7Ur1tSpX//+hb76UB+//08fKrdj
F+bL9xeiK54jhQzX7CNyKy7/5l6Tb/rzh0JQIwgewa+OruDXD6WbuVaw8ebHRl/76WOP3N5//v3H
+ep2+/ASn2+3GfFAEWDSOubOY+w/GMr/4HaWcGQmptAdsF/++hHiCrGYoWj5MWYFpIGbTv+DxYsJ
mbCYF/PYWNL0+fGbz5Wc872lFsfZfhzss05OfNq/Wbu++tK5iRFRSU+5KuUnH1/DDbMyJ4s5O4ID
A0woJy7mRU+ONqMy/W/u5C9eC5O5BnnFJkSF/tOvrxX6Dqb12MyPoaypvUiSET28KAVnrMv3L//f
wbC01/5cdP8S6nT2WH4hN5I/87Pdqf2Bz589xAZNY7jynvrZ7tT+QJ2gsaypQgKSPsiNnD+Q5oEl
p0tKG/LdY/xjMOz8oZrkKiBSkibkf+j3IjyKe+DPhQG/l+ypsgphSmbWDGH413ukRvuOTkKbj2XZ
gEbjiLGoXVQqpTndqHG18aU/c0BS7pfdk+j8b5E1wh4fjX1j+imTKuXGJeBcmNPBnAGWmeAbieZr
GTJFRytK15PvnIs0QHmKsM6rQAMmo3sYdPO0yIqNE7jbLtYoKDB1OWQ/LOsAsWtrDVeWWXTrVldf
FSsnzsCFvNQbwcGWhjCFoICFU5nepDFsqBR4g9ilhDnYy1Jzbsk5OufgfzQxPy+6OieqWu/T28Sa
Nv6YkFJluhdpHFwFHA9zk1HXZEJZDdJC4P80XociiA/z3JWPecvrTGa/mZU6WOodlhyL47+SiDWm
FFo+KWa3ljN4C9GxPOlEkHhaOeSLTsPUn4QVeltz7VbpU9BFq3birZd9s+mqGmpbYcSbcWbwYotQ
JhFtazl1Clp3WRG8XhuputOmYq8L5MSqYqKxntylU4sSNxAdxaRgUDNYV5UaWQCq63ZJ55hP4dYG
VAdrlw+Mc4oZ5bTZmOmO9hxZ4Trc1rxdNq3/rQmc6xiv2C5S9K0x+a+cUnLyiEYQnVa2amjpYosh
CEoxwDqEPmGHSSau6YVi6xjNHTXcuDKC8hJ38xbuq70MTTCewdxUyyJqfHgoPYYuQdIDidBYdBAT
zGE0kXPEHA3f1nOtUqD1lYobVpm1S7ci3X02E8DdTrRR4LOvFKzemFKEm7DcEx6WWH6+s2SgGCJK
EtsVJ9mVpI2NNrFjvWHoC86m8abFqVFtaxLD/SsHM9+JaoUvgVKQQYSR6gRORLQkhWFXV8E17Vom
oq22NZSyXbL+e03YmV7vcODv82KfO/WhabK3YszrhTEP2OD7+7KhPcQA+rbTqpg629WXvV/e940j
PEK0Trt8PM0yIR1L8cXcOj0mczKhBvPAAJZHQrltB1Us8axtY43KxQqMo41LuwPuYEaM4iHwFgt8
2htUEqephYdRuO23ufSPvUhu3JEueGb6u0CrmEqjVlvGahV5dVw06yjMH12RHHAgLMc0CD3huoc8
dbctG/RysJWXyI9uCmUiN1MhVTrWxIselbd94qyUgKyLGkb1Y1+bWDCUB2KasA21zkEfGd6pk5Vc
WInxDdn2viEH3p6bPaU3We1MQqPZwE1lHsei0A55nRG2Rn+rtK29PmLJq6mgFS287AOBjy2aSGS6
ThTPmJx9GRFz1cdooMKoXualch31trpok/QCRLTCsLp+KJX2MrY6nwnzfB6aIIgxMqE381cZNilF
sbaz5EWDwQccW8M6ZFS7SEP3QFIV4NjkiMR32Rl86xokyB7n5ybJ5m+uhVkCud/SQmps4plOlThY
tn112g3zzi2jJyDBRIGo6srJBhccQnzVpuaTW0P87EaiWvLKvg2UNl+qmc9DjEtgoYct9ADWQrLX
UiSYuTZl3+l6/+64Ggfy3+y4r/3jy1d7Lj/1c8+VEl9oG9irOcahIP+w50LowCUNkNDQJSeD7fDH
iJEgRc1C48uBCT8oP/6nGMvl95nvQA1H44T4j4aMuv5rgfG+5VJOEgGPyooX/Dxk9LFG6Ah5p2OU
n+uTzdbh0+0eW/dmnBEhikmrFq6WnzpzeulMxtNUpgrGvxkFa4hXd4oasbBb96RJ3KMuqBZGxXoi
Q+iQdu7tLC1gQ/7WYfitFBynEQzBtMxKDJSWtmQEjgE6OwVtir7S713MrnSXRAVbl/KLIVxya0HN
WOtUpgsVUq3Gbr4oNPM+SbnNp/mJMCMGa9KPWnU3SdSe165xFtHn2cD6uiKJ+aYoxuDM79uTYuhL
zE7NXnVoU44kS2RjwWeeV7Gj447qdp0TrqnCfcjL+ToPlbuupCXHng4Z74yybz0bIaWRbfseQAQA
nEO3QuayrpwUnnPLTN9QXxAWHZtEtcg7qqarGdNN1PvkUJQNxiYsgWasR2zcyJ2DXIk9VzEfsjlB
rTH4NigHkZ7YReSuqkFtUMP5MkUpXjmDnC265sqdOJkM7rzQVfQj4JbpCZq3aDuI6AhQz9AY69i0
sYIXSMhGi8nkjToMtFbAu1ckrlWtIPnqXaI7ftfrhlK76xdM/SrkvPTXvQR5r5CWNqn37aTyl9i+
zSi1wO8hmD7yYEPqhCGZv5ZEY6ZSQQyb8tssNcVWw40TIjNukRtHoJwRH1dGimEZOfKELHms7Zg2
bL4lCkZBpYp2WbX7gyvVzAnDLGAld5NhnWRS75whfK5Us7oxMhDMmcEOL6XRww5nxGaMYx8dmo8u
LvK3gB2LZVDp+0kqrNHp2rtJmXBPIL9WetDeFoJsdOoEAiDKljogB8n27GLhEkVJCl+AbaxXWo4B
5SYC8YTqFUaM5q91JOCNgkG9rrvbmU58iki80LlmLPD3Avl47ic3kJUfgqw+H6W+fGwddGLzfVNj
XxIIehig2YhhMy9HnJ51NnczcvUedjhd9cd2ijwbOTu6qZWKvN2Khnbl64zGEql9T+v0mu3iJpSq
+LIzGt5asgfu75UzKsbWfqikkr7urEONtH4OjY3Q/TtVau7FBHMeEb6JGJ+gnbWNOB+e7XEsUetX
1qwh4ENdWCHlJ73vDJHyOslfEtRhHR09rxn8TRENYuGmhvSxTucRkSSO8PkvQ4dN1W7IbW/GJTSb
x8zHd2iKpF2KBkdaGkC76qdra+bQMBYpsaK1fZ3nAWY48TA74SF1xwtdIzZRJHhBK/fFz8Q2cx1u
I7vaMUfhBvQlznv0/FgjbtUoeaDUa27je7vFDaP6xVkbwYR29Rd3nmovVobzwmfkkzWqsUR7Za9C
PzcXqRUy/m6Zp5jJmJ5PiXuZJKwrtKKrnd+HwiMWc1jnlvs0+u1jklbnvlojmLRNf9UMAuniVLkc
a8x9if/7fNadDXE5IXybvoqvylx99iedxK5kvpmL4lSfgyeVKUGXdtMWdpnitYkGECLA0V2GzRrq
QL52k/a1KO3Z6+wQKFlSSkp+xcbeulwBGAasRfg9faM+nVV732rqSdSpuzBsL2smTZgH9Z01G2dk
Te+LjE8ZJdWqbEPB9EcxVnAUV3GY4bu3je9dsH+3fLlD//ct/1g/5sEr2/t7mvKf2cnyp35s+eiv
DSmlRrnnGOo7eetHma1SMUuSKru7Q9flo6tH/wPdkIWdDSQcmp9fIX2w+yz+4deaVOfaPxEWoRz6
VGZTrlOwo3gSiN101fnU9qksgoMGW/igkfBo6HOaEFHbuf5eAaewz+0GZIEipu6bEYcnkT894A4m
UB4MnN7Dg1MGStst0mxgGZUu4p0oK3Ll4oijKort4jaoJVaO6BgQc+hHqJDfwXNDCYPOSP3ote2E
T1StxNOZJNORHwVhivVxDZgkrrw2bTQXf4HRr6s6JjsBMa9LAYKu0u9cTglRaRH3YY4yhqV+U5xg
5JlGzGhGPpNvjUXEwQVqScmsolPukVvBrG0iqy+s4cIzKi7ngp6BoLAeLlR9Pg17V5JGT40i3alB
uBsZRyxNqyZLhGp3WTR9t9IaIzwt8XuLUjmPeeYvS9/Zt2XIZhZwDAkYhZzmTVEvNWVIvMnC2lIT
h7iyq+44ts1RSbDXDmg28N5weiiKwQuRr2O+sVrymiJ9qt8Svb2KUnFFHyczGdG0+blSJfNBN5Cn
4qgKSiu8LyJ24tZZ+o2fQVBPiXcpCBFuCL7SSuaEWuEwHuw4LejZlWKZw7p02B3silCEmlIIHSzO
WXJywE6NC3+2rZWm5uGxDwa20xIcgo7Gux2V4tIaGMpacPLFVMO36fBAa7RPIuWgzvoaZCIsqa40
bhqXYHv2PcayqbOmxxItOOjhQpprOGV2+WD6Hb0UVaE/sci1oFk2Ezq0D4/i+fdO0cdZzF8ayzxw
dOQtegIcuOll/do/ikU4iMQlQVkTYbnW00F7DCeu0zAlNLTfX+vf9U+24//7+neePj6/1l+sf/zU
j/Xv3dWIuvY/yknZ5vux/qGqZGxCvWMxynpvGH4oeXSw7NKw4tKLFjJT7M82o63SaMSCCLmdRNl/
5GrEAPtp/aPNaEqqvWQSapLU/ettQlo7jQTDHo4tMWawFJK7op8u7aLvvdQNjrgJ42cesRz4i36N
IJnDs67QvLGHNyUUa7SfBnJiBXGBg/csT9GA2Ig98O891QFdpzG1ayQg+aXhpgGFSOFvht4/OBla
8LC0n6ApXVn9fBfS4EFXgQhaK2EVFGG2TezyRJfNz8yW6mo3X8+pdsVrrYYWrESN9BgB96QSioL6
DVTooU1AL1gqlX8SvMSNczAYJQtjPIZElBc2h0MOYBdaKMTacHT8C4Y0oqEzYjJjLWyN6DySH+Q5
iZjXaqlXHQu6wdx/KNWtShDWmlD3hjSL1vE6KHSenvgbC0fFotAzFs3SuIYUtegnd9Xputch319U
NaD4KJt2s0rWXZuH+CHFfGu6L1nhr2ptlE2sE7tv7zsxR8syJnKJ/G/sZBP1ndV3iFfG6bUXxa5X
bWJuFcKbRHgbqCzykK8QcaFsYBpPkSWbVjaBVPaZbLsFRX1bKOYTqtI9NDlkG/PKIhipatRd5ycX
GvxYGfR+6XCF/MiGgVrU6yFNz2rDvbQi8ZSMM8m/wuWYKFSppBxuMs14iJlbsraSf9jnxrrsVHj4
o71XY+dakUAcaxa3UR+nZAPH+1n3sa3WZwj/9kGdAMtL01dcid/GXrkudZRh4XjZutZaWMp9p8TP
mD2oMs0JNlBJ+uwstUtaU73Z0IlERzpwJa2OaXI6xDaaBJxGxhuaK8/X+DgSolvaRbPSjOiqQJwL
2IYWXWBv5tg2F3VefNNzC+pCMy3zaXw0uoH7S0VzmMnM+r4tTtU+ffG5I91az1aGRnZPap101rQt
rPalVwzY66F+bdIUDFj6sWdV56oYAJkgrVzR0gphl0zxSgk7zK66I81JyW3ccpFmityFSdmyMDLt
srVKzy0z4nyy2vXAQIGrIr7kTOuK27F5SKudzjP3kNEpLyQyMwzYUebWwHExhRfTULs7P0HHCN9p
3EBdBIDYgQ3qKjXGKBRy/FXKN3rFrYsaqmo5mod+PHktNI75pn+vic1+dKhWAz8xrnJfp8JEZ3Ib
wdzyDGpq4ZrkNFJlj7lBuS3rbgfIhZ27G0xIlOTEYK9IF0lPUGrYXkaADUIq/aHozZhEDh63NOSW
zgdcwSGNRkhF+lKJslXguOOVU9IBKNAVjuH8IvdeMtacVUQPQdBL6JKMY8GI+Dm3nHCFoQYVhn02
GuQr04mYhXMX0ZkIHdOHY4fysm13IF8WNaqqlF4GeLJ1KevXmS4HaCEOXvQ9jDAPzlI6IYlhXXF1
1Q2worMmpk6lZ+LSO6l1KGaBPzw1lnFbFPp9JmzAnvRb4lSnLVDNs1R53pqhdLXNdC4Rs50NsmGT
y9ZNEqawtOYN/1XD/QMUvGpNWqQ0fLQKeruevE10gsrYvi2rCJKU8VQ3pNeIDKc4vSOrK8TCqEJ9
odP2QEtDs1j46pMY40uH3hNfHk2oGERkm9g3wGsGnhC9XZqDE3pIeVaWrHVocYFAoPwpWh6miUfP
pjBqQm3XyEopomTC2UbbQD0BgrcHSnpKViD5ObLKSgcQJwTPugs9ygAr2SBHjUydPZ8CTQnndl24
VbxugTbh3hNnuaznIAtNW40Sbw78R2XKTkNKP0XWgOo4PSuyKpyguy7rAeVuA3wom/DB2EH1PKBU
QEDK9ISi7SZyrH1Yls/RTP+NhLEMOFG9VXLthjC1bOmXfBup7a9pa4iV43O8soadnUFc862OFFN2
h7LF2DLQ8c5S7jU0lxzbUhEo9UktpMuZA1nuUY40JFW1jftNy5rWPvx7IqKGw/zBOfJ3J6Iue2z+
eiKSP/XxREQkJh6O9/PLL5RNTkQYTYC2k03zjiv5cSIyBGhO2M00ZU39P3XkjxMR/WFgxbRtNZLO
3l0o/8Bqgqnl84kIx4pGScqJiLQ07Ca/noiMMMgBk0zq0cRGlWxBzmp0RKvkEOMLN+bmwgnnO6oN
nuc23QyBe6dEYQNKHEsXsyTXT+ntssTUVEOeXtQXVl+QZSv2nY/gEn+6jk997rZmrDwUWNf9gFUs
OKrS0854DsKZyfnBVhFoJQ3yfGuaX+h3oquTfCUCBx9sA56Poyvt2hjah7nItsO7mx5bPZ0y3auk
0x7Z0X6W3nvApQeDAoEHOb3NlW4iHFO8Rhj2h1l7caSDv5Befo4iV5l09yNufhgm5a6esfCPc0VP
2HKI0XPPcmua9oqRXFI1y+hAuAEjAAGqEP6i37xR1xj8RTKlexWeAdSBWItgZUgSQSaZBDhgn0Vy
T98sbCwwy/CvYR+ySRMO5NttvWIJhW1gvnMO8lBnjlSCZkHdLEkI6jsVIRphYhOGDH1Ahrbjn65o
4iqAxQwi3Smm6dS/x7xrTrqm35fgbuhrMpkhIOEwHtoLbBwkZc9pfdEXBMd3JVk0rCtcKknVbGTA
fCij5jMZOp9V1n0x1xpHCxjHhoymL4om8Vq5xY4yuN6XEfagCqYLHFIGbEMC7mOS7kMZee8ii1yw
v0YHH1j+anC75iQkSWwz1pTgaBrBnFXwc/Bo6v5GTbo3zS2cTRWCIKwSP9iqlvLUt3x9GgGNHh5K
LM0V1WOE+2cLmeHVVQoTDMcweHgV6Mq6xi4VcMgKM07PHZ3Bt9rkYG0UuqquCorDSHUS2frG3GAz
f81G1d3g1oWyUyvpObTU4IQrx/bhD/mjU+A80KZIbH1BVEsjMCjmGj0RXW2TeqXagOMySD5P5USW
VNHQFm5MRm+to9T7wS6GfTB09cYNcUaRhahvSozWHl8elNnGfIsQFS2MKSQX0NA30rgeLsSc4Q1y
S85RjmM8iYzmPUdvhp0ZvlJ6ynABS6P3OCypUFT93CIFG2M0z1xwUjM03Q5zkrdeSGSg8EbdGZlg
Mj98S3GAbx3gRhcFB74VJtRmD45W4DPhRFGL8TpV1ACrT2ouctAU2KKq20lxg6WY/Rb43VAwgiaO
vW8elKC6S4uc45Hj0rnIaMn2GXCRWEAxs6f4Vs2L87hqom+Ti3ZeC4MQxb+DqbhEFzt3F4AxHTiN
kIzI3612bme9hmn/jWbQegiccDm6ytsQt9IjHT3oSnyCnep+tOCIYee0lmlWy0XEPXApdl3ivhU8
p4rsKrSZcy0c87xSCSlQTXuR18WZLYxnzXLv+lQhgKEewYPVzs6p620xN1fN7N5UpFB4ouU8U3U1
+PUpWjCNnja6xrwkzjnsOATdDfQqaie8DERtLuyAJPcOGtneFPMj4wcYKbm2jYrwJLH9o6MPB2XU
q9VEVcqTgiUWhjFHmiglrBErzFPsMBSxkjbeBnqPXN3odOTIrnFiEYy1MKyiwYOdPbmNyZoluhwh
cHVeDMoVoxzpqE2ikwCvA830AKA7ERK8JU58k0IAJodLC5DxEFxkyDAZcOD/6OTDMwsAa6iT421b
mqEX+5G7gdgaXaZBXa4cDb8IK0y3aWKLgsgc3U1pqJM3xxRu0BNSVhh72ozASD0faC86+szw3DnG
Il2bbzTWZqiS8w5jyJFhxT7T41PygTIP/oq20Qd80roo/XVCsvA6tE2xSX2fqE+o6FvNGs1VzAQo
CtMZ1XqkbTR9ZKmPebdhxlOrDQzSYUgGcPbSFHI5q5SomPANOZ/UrHtTZrUHiy5WrY0SM4CKM4ra
KmgDoFeoO1imun+bP9+RVjKg6r8fda4en8nApfVdfHHc4Sd/HndgV8nTBDARji7vUTQfGkCORW/o
x//hp37MvAGQ6Ba7MpszejMTePiHBpDgGKTCoXIkcJxU8X9w3AFo8vm4Y3Pgku8OEArd9M9RRnrc
59Qf43AcUwfhCzPwNXL72CtjOdMcW2Z9ScNzaRr9wxBn+7LhkbCEY1OlRGBsp6BZ+bmjkiFueaiW
KKen3F5aIlL2op0fTV+bz9yufR2sqiHYGM5FmfpXeqdYh7xn25l6veJx7aszVOVeHIS3LfEDg8hJ
k3Wdk6zVTqCTvCXjdDuEdEqM5FiluH5UbetGNIbcmL0hyvQSS4yKV27S0xXz2YYeNL0TOnOvsW3c
DJbyLemV16GXebA+bI5xYByaF9lLleG6TYRy1go624Q0YIFPkIr1rvUk+bJUU/jGUlo0NLLaaAXe
5zbMigvNCjyrwC1rTzAeq67tvaDedMEhiHZWqV9WjYU3z3+dpdkwP7dUbGnEM5zlNDvmMb7LKmIM
NP85zM3r3gTSLuK3KZAzvVS7cMgtx6DKDtYHDaKgFqVoB7+6S8N0PbbAXCqXtbW2pqsMXz/kycHY
onKKl3oaYhzNO1onhTEvs4h5ReODgmFZbFZGG2yTkJlppugboiXiSyyeGmk+zKTjieaGGoGUNQvy
q+tKeoiQCiwTHBYnKO0ui2bEP4G2fIPAZkdTKFrVehth64rNbee7U3KbB4odHLRmzu4AaTCrSGnV
c/n6eTnqHGf7MeKkYjpvDZaTMeyPYVvj7Xqvwdr3eqwmDPYFToWtQKRAHhUZqr82MfQdbRGNS3Yr
HDzalK9LYygO2axFN2jJbmsC6Le65X5LojFjky6j42DE2kopO+Yrk3Pt5sNOz4i8rf0OtwriuFpV
b5SO5bdjduiN0Is3gJaDy8zIqoXdIGlucuQHgmupN/1hxPV8zR2AltGwoZVV6XgOCrnxnG4or4Oq
f2oQMe/tROsZ6YevpcppYTYmgVFSPVNIQEF9ifUGELpKqd1227rz662G4/KqsqqUHHI7v040zJ2l
GoXo5srrwmlXbWvRZ+pm8qwjcztaNKo6H6xZjD920RYTjkDXXyoAyJcZMBfPjPBTopdG0Bb51kk7
icfRL5dVONwiWylRGoppwZ4ZrwLD5dQ7GsoOgjv0s3iAtTVX/ipy2nwD4CZ5Thh/bFPsgYsZ2loy
hOO2Rzjn1a07G6sa5dvCMiHrD7rqn4b4ag5OP501tK4ZkiOaR8HBk5n19ZrI63HVanlzUJwZnrIK
Azwxx9n7t/T+XnozBfjdfpT/rzUD2eeoef5qS+KHf25JGlorpOfYZ2xw7lLf/HNL0v9A80ztKyes
lNvsOz+2JPsPVwMzCkn050/9qMDJUIKHCOUafsQ/ZmL9dUNiAG/AjJBER6StvPGPQnwzBeEe+/V8
nNu7yvEX8r7/cGG+GI3J3/CntNoxBb9VOHjnYUlqvIR8Bx+YW9yyVjmWunpsRoWG4dpMI6qWl77f
/v51fv0kf32dTxJussBL9MQmnQRJL61PB/vl9y+AwO33n0Qq2j58koBKUOtCPok22oveuLEpBHjm
XIVoud6jxbJs+oey23bReQtrS41e4xBT4rlWXLQ5KmvUMtXeMgPkt4wCjIsuvhpASo9u9jeXQor0
fnvNubE+vlM9Unw6xfJa6J4v9VXlXddT/KjGcaB17RPhFE1vNviYin91rGj5+0slT0x/eQMMukxL
8PWbjER/fQM5c/u2F/Z0JEwhUpnI1+lpgtSfeqE0qnLponTH+u/AEBsb8iSGS5VGKBUNTPVeKPOy
RjPGcKoTeHgDcTKwftebNLvXMv1k8AVnJE2J1ZtRz+KNnrgApHynXeRxjKO+3pX0XfBEr9V2WqFz
2oTzsbciLwvoIlfKAmjUBoPkeaad4/2DpnbfMP0JmmvE4AedEPQ6sVY9g1sg+jvdNBGfcfyPy1VC
6nhJNWtRE8xVzUVUlx1+e1tk3lDCib5vYo4fhBdXQ75XW+OCJKl4zDY9xqObDHB+qc+6V7jXrWGt
CMUio5cCwowCA8tY5ayEQ31TJOkDY/lFljHCdk2/WSWBcfr7b0j2BD98Q1J++cuDb3x6XIaIaXU7
NvNRbPStv5tP2zt9g7P92CzU03ZbLWsPRtVyWuvLk/qE/KjV+KDsknW7ERvrEK3j7z3c/2qj+1UO
+tfH95NLx0jTzs7kLVskuyKhvb8ibQKFo/ib5eirO/PjcvRpwXOibE7DkNchDya9Hl+qYEnkIi0z
y/+bh0D99RJ//0gfH4JP016X76PWXTJwQn0Zn0NZ6OjIY4VuvNhdBkeEbb//Tr9aAVH/IHYlXw84
9aevNKPdaduprh0HJOT5/NQr579/ga8WwI8v8OnaUSTYBMpq2rHpV7I9OijLZvy7aPu/e5FPq6w7
utY8MT4/uv1+rk5a61qzvv3+c3y1JX38HJ+Wx4m9GjGKqR0BWTIzp4VpXbrxmYtk/f2F/n9LNQ7R
c100xVv7jiB9LsqpjoKw/U4k/fnH5iehVBqwfvmD964Ju+he6+nytSHD5EeRKv/m/+v//I+y7Hoq
X//P/358Ifd8FTVtHT23bC+fVWfSIfX749Eqeg2+Ohrxgz+ORqr1h3BU+mPfLVxyG/u/7J3HbiRH
m7Vv5cO/TyFNRJrFvylvWFX0bpMgu8n03kXm1c+TLfWnlhkNhJlZDKClAJHFrqqMeM05z/leGqFk
4ws82zQlm4Fv4vXvpZH1E6cX8E76aKzJMK9+7dbNn9hXkAxGDpxDdLj8W7jQP5OrCR4nF+066xCD
sd1vbzEyBsImBJRxwpTLrE4SghhAPrdlQkhANpQIyfvJYdANDMcEopKP012HziBg8XllgfZ8S8J8
abVYTPTqNXZSw7hGXY0/LO7Rfi6aPvcuWdFOh8Dq0mhftaN5D19Vk3uj0Wtt4Xlae8l8yz8ko623
a5OISeMuchDEHqdgSpsvXh7Yw6m2ylrezGjd3s7TD2ShrBnyqEtxeiDX2OoxjhqvmpNT22ps9yI1
CUyaJtaGa3/W203CQVDrVKF+NGc9Xl1VnFE5jK11qDwug6pu150+RkfSWsSV709lt4g933vrGiiO
TCd81rCOAB6D4Km7Dk35hs/2FezFl9hGeoydFWC0LT/KNvuADG3Q3meV+AoRCgQPkI8qGPb5pMtN
m2gdUdiBvehNnZnHkHQGXqyBYStKkCdDo8PxksH/oiK73zVWbu5DQteutMRExWLUyDGqTpGCW1Zb
PH3FsqaDIhUjZ5bsMudm3Ii4AlUMH265shFpNUPjr9w2O7qdR7y8XzunUcppnwgGJpEJSEF44ZaY
GIJSAmjJ1ujGCPNQpDl5sipd78MVoUau17RLDcwIaA63o49IQWuyhH0/TMhGqGcRCn+VDFO/cGy5
LYw5rYjolDash3NiKYTLIR2sl0q1qnHOIicuzQtWuuQO3aN1m9t2/hHrgsu4ivInCJfs+KPqa06J
dfxfOba2H8WZoVzzf+jU+kuF2d1b/q/TG7LnPznufhSZ4WUlrR2NmfMtC/vHho4DyGSnIQmBYNKo
U8R8P7Wcn2AnmI5Lo4WLhlPt11PLmbtAamT5P9TQEczkovOdAcfmt2TDH5qUphu6KrPHgai46zoQ
6xHdzg9H+fUftY78pT9UjnNZgxXX5gyeZ6ko5n53e7IVSazO6boLGU2HyHnU9IsH6UfsDP966M/Y
U/769czfyYb/+IrzX/TDv2kmOkVMkDpwGp22cMfZZzI2Bfj3Iiiam6Eu3EPf4r+zEwQqjb2xY9aU
la98iQKndZhz5varoj/d2xZkspE9zspoCmQfbnglCza1rpksy1pHcpR8ekp7nuPmCzjSjOQY08VB
PSuYWFVZZsg0JoXlnAVRAMbM3jZjGm0kUQZIZKNi648qX0aIURZOzYqFMw2OjBnxEENh7aJbt++P
ZJEUCycik6zy+ZRi6E8+2qUK54UY8TbZw42PqXbh40ktCuO6R6FiuphZ9S4Ccx8cC1RinaU91OzQ
YJi+9pMFvDTc9c7UrA1golHL6rF0D2Ek1SK0iwF8Ud3gYx5PBYkdd06re1BT5djkdwXrqJ1NVxYD
rSIJKdTam+lbm9ZlhNhcUrqPFuUKybSTJIi4JSyvs6r3RHevbG4fQGZXpRPtVcJN5PmwyZLzONlP
jBPZHjLrglVkbWoz+kIOy9eUDep6kOKkSnFARrbqk/Kq9Yc1yrk9XORrHTFg7lerSI1XTI2vOrcu
Vu2U6ctADsem158qLNRCFPPOeHoAtU0oTzYm56jLr/OkxT7KgTolB52c54UqbQZfLXvqSpGjhMIc
xQ8YgCZ2HrhvYchrhJ2ZWYkLqxtaFkQmogMcVFcpQNwNQPxjmn31tOEiQve26XBxGNQEYM7qjQER
yk+j6y7X7oYefZTGxwIfd+1G3sLJ2q9OyF1j2PGNCbXK6zLiPZUBbW7u/cabtitCHBmMLwexHep+
o3NBtDaiTkNfFUVxN+XiOvPJGxgUi7I2TfpbNYa3JNjv0WOu3NJ9JrNlqRxZQ7jS6DKi+jNHaonp
g+0XfJ6JvhbuCmys/kMfgmMOC64SBuQhx4MfCGvTsqI1uGHcLME1ab0nIUmPkhmmK7lOnXzZKf/Y
NMWO7DPgwu2Mdjtjol+Zg7bnoLgZ3aCFYKk3C4u0Bsbkj6Ju0JaCQqkS4nhzmY67BCD6vk4ZIkcQ
8qxROyTNdN+UAwuJtD1HdXEX9+zxY0CPHdNzSHvmm9fFb7HjngpC3YhHw6Q+NOQd+M3AwNnv3d0/
l97Pk0w6qL8u1Q/FW9VF+Z9ce/zo92IdbTU1MJnisBp+5y1BWy252NhrQbQl05fz+fu15/5k8UeY
YP0h/LCRowf+dY4pXFIiv/0yVnZ/z076jeLx65iR24h5qMelzGINvAOT09/eEQ6BR0qJsb6MGt4A
9H+w5JEm526MUz7ML5FgahE64dmW9Rb5srwhGIIsmUC/tXxxm9TdR4GdZKFUCJKyP4aOsekRzCbE
kms9ELvcuHJzYzWZSOV6ofCjWld6Cnjd6rKzKdyNHzhEP2qbYtRuWEg8OGP+JCnrXL+iQHThKJIX
POb7BIx6SN4SW2VrL93wEe4iUSf6zZik5w50KmzKs5oXYJ6trkDObmVtALUNHiSUP41/0Tqth3cv
ak8+uom2tl6tgMq/bQ+5b29ayzv2ojr7YXj2CuQYE+mWYXnugIVZRXWCqPhE8s4uBP3osfbSkuIS
G/GZAeq671jANNMq1PsXL2quw7A7BcO47BHJCBhswC/Ptcn63/tsam/OoR/IW+s6stncN1IdiRMQ
TzzFe63xVr1sgFZPbMbjVVZOC7us78aGMEVfRZdAOkjOoarG9oNsst00NreZ277npmJ3k59Dv7rq
7Wwnp+6Q1eOuq8AtBOWnE5dA7CFs+t7eCsStEzp4erVy1zo5Qod0OCUdaEJjrI6MNt+sQtx6pb0M
MRMR6+hcOq29CsxsNQX9vp4A4znabeypvaH7j2JOP/estZ1HxoJ8UiSYKDFCX6+WTladIjcdUKNW
wFHHzl+R3/bm9DBky0pt3VKyJlPlk2nSYmSDes8ZuAe4Nun81s3oDTRajVvHu5gI9n1bgAG4iGki
5jwG1Wht+5oNrGcMfPrzrm9e+hVVR+CJW94mRVsecrvul828JDRSwzoBnetX/UgibKqwk9IGmpg2
p/jWNMxtYnIcg9rcxTleXqAh7pp/0rTMzWlaGvOyMi4JOGjnBWY3rzLh+UognuNdJMZqhQMQb44F
ln6al6BMPNFjBc0DcA1C3G1mqzE708gdgfXEn8O8TPU0815ju1q41oqt12Uy5Uawfa2ahNxPlpq4
rz4AI5xQVzxpAz93qucVLv8vy1zSbRYW+91o3vMWpA7Mi18IIVws8zIYTylgzlK8BxCSF/q8Mi6b
qls1wuPqgNjqkEfjaez6eoFqleDsapWY7kdQeq/5aD5IttL8/eikCr0h0J6VtVWyhUbkUa5kHoN5
SZiK99gOSnbdlhtdenbfcA4ehRo/O0c/xOzGYePD/degmbI1jyZ4hllanWn0qk02r9bNeclesG3P
yzAAQJI0azPsrVUnyMYcjPx5iCfe5Sr7qhWzTF4NM00zyDdxova+lm5jHWIt6ZGIDAFbQCK8RLrz
jsTkXQnYSLXK+N46NmvXXvKTKfQPZgRmBVS2RMJSWebWL8znFmbogmMK6wFUk6BrmHdHz2OA+9vT
xJfIr7KVjcIRmcC7RnBlY+KZU74Ostt/slisLkfYJpPZIVCAWol2wMSqUncLwnXuwwGdvh6PI8EA
fO7K958tBHALv/Qdvl/WBhQOkmlv4BGNEoI+Cx7LmgQ6/jzrM9OxTvd+MNvEmZ6TL4rOrNqDh7X5
2/oD9taLytAujVOHBMraDyGR1W3/mOv6oR1ccMcaNrwIyf+i09VVEup3Q9AeZR7eG6MDzj8GV1zH
xI+LwVrZSruKgIks8jF5qEOB1icrnRWh7WQghGFCeuXQBOFSK/w5z7rVSaLow71gx448jChW3dW2
0KzpGHISVPImKzaqI8sxGRm2kGrnGCq9iQpWK//UIj/XIjSLf12LXHVR86/Le9SUf9aG8+Pf6xEC
hdAOw6PwMNwhzWE49314SD1i0ZpTeXi6NUubf61HIOV7/AwpGpbL4PHH4aH4CYQ+P0al8svI8fsU
9ZemmAHsf7rOmEeDvy1HwOczvxQmvw/b7e9m/zUxww1tdHCBsbkgjysSv9gA//NXsOff8etrzORB
10KzhOuQ5gvn7u8a8cwodK9MR3UGgr1n6uZtFAzSeuNk6qQs5IuYR8Zmy/cXxivtH3KT1pV3JpaO
gnmXZ5+c2vGafR741amrNZf4us6yq5Nta7paiwZAPiB8A5M4LvR1UQ56iZwly9ZANPWtUhVrNMDA
68GwjS3PFzddMbCPsyHF5L19HTt5sCVzUl91BWKdCK4OMNC6iLVtngEyvMvrKfzMYEJsrJ8xnC6a
17X3M57TS/mvtVHihliHYmZ44tqB58l9W920iPwInZwIICEhWFPhs1Uax1CFUIzIm18Q2Lu3+moL
w/Bq6Gxj4bTauQv7R5lY95XX3NXAlUnSebRllrMBrUjPi8RVRWJuIKorINa4cYME5jnEqkDZx2FO
lNczd9EHBRgH8th17oypGA+11F/KOAbwnTqw8YvqUpOqtOOeJ8hefw/tZMRkgRVM+GIiDttAe1qk
q9Hz1mNB7hrgLLz7glCeVim5RQ4/HauxPPa+tlVZsmsJQtpmqaxXkTUBlirBh0WnjJng2reA4lPc
baep3vt1dBuSjLSNc5mvAi2hwGENHWBAyxtVr+swuyvq9hhaiBS1Ube/jH3CfVgHwxJR3UaVfFWV
EdFaEwdFEbbCY7RXZXUaBDEMBmFrNNIuU1SXnKIglndSjMXCUgL6OZHtJCF5KM99wSRzbE+V3ZNm
7oFaR0xGHq/+IezuK95ilzwSOztaXqaR2JvI6KbM3WxFcFUkaVThrTiGdvCYdG+RWH0hHHs/2ejF
DOehZcxKnJzNDKimOnNJoTaugGzc9DlEA+RHZMesZyxsZgMSA7e+dQlnWVUWb7zMnV2j90/GTIQo
ZTC7x14nuz8VOijsqFYHxBDXE7+0N/JTBgdiEgZyde3NbKCvaWqPwOvK8rWd5zwq/7VwpwPMZ3cj
42BdO/KBWG0Y4Oq9p5rpWrc9CoC40hyvAz82lpaZIJFNvJc0MF8snKarejCuPEF83iAupKeOmQiX
4cTISE7Vhkiwe1c1DyLpgaGxO5RhcC16EruQ4CPQ7ckEYFNKT4ZRvDceSy28d93sQSsLnG/DZq6V
TUcdKk87KKWj/o/tAzP9bWqTCo4Ye2UVRrcXnWhvxRCTjKSOMtZfue3xPlhoNMizCDemVcZnYGjJ
TmmZ+VIMrvPcuAV0KjWO/kPW+smt8p2Gtik10Ov7NTyUNlxV2sxSTxHChi2g/8rUyEPksbjqSxmd
OzERz5DWvd8su9KenzC004RFenNJWPnu+0R+5yqU9qNGdbLuG5t2pgR+k5bMQYTX8GUmp74nous4
unDNA1PetjqTNnxc1SroS3dhGPERyvZdViZA9IcCO2rZABjxxLNtE6xg9+RDY2ByFNHULp3NyS9D
3uyJmz6xi3cR4KK3cf/xyHl8RvJeD8qE93FMtsEYXMWYtAj48W8gG793ylvGmDPcGGqRr+l3IEle
LKt8JY8Mv3286+P206mHSyoRHAR+SME7pC9m3G1A77/SMi46tyF8y2DJ4A8Y2domRwIN577x5Woc
IxxxzDEr82tmt4qeA+1y3r/02BikaMmdiMg6bfGH1nzMyQB80Hky8uZRdjShRgGBS8V3Kh2vcm/Y
tRVTQ22In4Jw3EcDj6hSp97PtkGGMkVP7du2nS6IAF9UKM8FTlpX9E/DVANOguLsEArTC7obpQOh
FR6mweSV7HSMqbG9RdWAVSOlVW3daB80ihUSSUPLWNp3OPd5B1ODrUju3EP9ObQWkUxNpL9wE9Cx
sfnX4EFRELa7Ig6eJNHbC0uvdzKz1hw3qO4VyQ7867PQuSJShMSz4GC08sUjQdvH2le6yQUx7y4h
Yr2BUrDIzORNc7WVHKJdR9bFour8N71NDrzXq2hSwF9M7yC68aYhenwZi+YQ6xrzLvvV10viPZig
tf2dT0IJWbrTBkVuscii8Bqr86evY3cbCenQRcyIdopOnky3lV/dZzlj0iQvdn3QVzvXy+bEgjkH
zSRlInq1/YJkLBoD4kLbTZ7pxqIQYrjWTQzVLnEh68Stn3MCrjaa7l507BCoY6pqxs3BZQtVtsEH
9CVizoZkMtCeh5LBYcyUfD2ieGcYF6VfFerJlWllIclRo3kawsb//KE++6Xs+UvugecJi3klVQjy
aFz0v526GIk0siz3tXMcE1fwmHjvQm7/ey/xuyXsyLfYTlBgnvU5bY4Ovryo+L8QNvxOEDAzrvln
2DONDM6otH73zzAxtgO1i4KLPnDLO4jhwLvfa9rf25x8exkQqCZCJ5TojMt++24FRTxaTtIHl47k
j4q+syHiQKseOsHihLSFhsZH/hP//rNhQFAO/2Ur0b79a5m+/WkQNj/6vY2gV6B/MHDNScabM+Hh
1zYC5SZYcgQAkv3/b8i0cHZcYc8qTPHNWMkn+X2sadNG0HSAf2f8jcrkbzkGwE/8psj/NtdEIKpj
PZAkzoNK/u13xjECI01rWVxMFyYMzu2ZXje33xgCERMHxn7wk01qjfs8y01iRfPwJfOcAxXCxiVR
vUgxJHXVPpbaZdJwHTHlIrHBKa7SyGHyF9WPoy6eXa/E4dtQWrhau+7H5P7ngIt2YjgSoMcqYudG
BaClFvUUl/qa0ASY/66kMTCUfgZp2q8YNfbb0A9Bh0l2LbneEsVjeNh5aqL+AuILSBCb/ILiQpfF
rrOHbEVwMmlYwD/HEe8TPmG5ChWRon2vP/Qkbju46AezbZhKCTKodYYDspZfiLUKl2XG7608SBGY
jb5NVNA25vEXDyvDevRJBOwybtp0pILMhb9PSxYezInXRQ4rl+zm9CilNlwRwOXNHux8Ker4gT0/
t1DaGoi14gtmgKWcDVrDJDat3d3TdeAIS6qHubsrK2NYWBYBSgorvVX58yQk71a5lpbUDEwOvdla
kFTdqSxj2L1jkW6mXkMWLw8yN8nf7JEezZrMATXgNBg7x4KlOibR154xX5BP58nMesZ0UF27uH5O
W23pd8WMDi2vutAFKwvXZBkQe6pNTJuLBEVnU3AblW1srVLTJs7avkn8MaTkaIaVOQXrSmTuZtCK
L5UJb4NpIew17JaVti30DGRrdGHberQsbvxMNMeq5zvjd811FdntwiWtY6lTe60FN2FDAdvE3bYi
xtuRIfNor9CWFUlriDHyVVJq2zrWUL8VzWlCQMOnR/XYufYtt8qJ/nXOHerVUmTCWZqkCTGknkD4
iBaZXKIDOB8o6YPmXoF73fRxfgqE/zpW/bhJNXcb0GWvZKs/igqFjVU5MOoJ2a5ae+VGwU1AjW2o
edyrmEV6X2t7KGlrGt7Dxt4HFYNeVgFXbddcoqKptJuicNLpY1RpsnMYt3lJ+YgvtMJnC+l1HmDm
XVIe4tZ7KRL9lsC1r245Io+BTjQFG9bMq7IZDl5L/rpuHos0PEdFcVBxc86L9LrPKYvBGuOI8Lth
b/vyk9amY8E8WGIbdb6DlijvpzvTnk5BxcLWSKNhgxGBOGHL5nXFlhHldpjXvED/MF9a17V8aeY1
cNZ5DzkLSJDOx9qs2Sm3kgGatQjK6bqbTKa8zNtG2d1w2DGTI9QKpiv1FsQknz20RawYjDAaYXqX
gk21Yziz4+hugiiC347OJJzX2mYN5FVkZJ96gcFed15/W+zBIS8Fu2pejZvzkryY1+VaxzeHVL0Y
1CDL9IytOlGgz47IPwu27dm8dod89TghmJJGMjsSWc3LeUmv176zYNz/7naafwWM+0Q6CceErl9n
RcbD4FTGBYffhzU5aq1Pw0fXQMbJbHWLrbncW3n/SuG7qYT+PEbOCXDLxmvQW2cIAShoG4GvMHjK
FbgqDEib0h0ZTRJjUtbXXpQedTveTPN2Vlb+OYb4tyKodUeksXdAoPXgsgLglful5Yl7Q5fmNpSQ
UKbKKNelitW60syT4jG4dgrvlj37jtxU8Bxpj2WVbBKzjI1FVIBskE674t9KvZyQEugRXhhWwEHa
EUoHAQxrwy0+A+9LBF2xaa3bhPeEe4BsrSBPWQq715i2NjqhThxhiVgwiIUBNA0op/p4S1o9W5k4
RTDRgjzm17kupAopoZHJ4BzG6JlowPqj0Ix8zQc67qSpblWeroysJO6+iDDsuPmOmBbabSrTvSKS
z9eAhMDLZJCGScp51ZspIs2R3BfFlDUQaqOF1Z0ZAeyBjMj+ye5AjM5Um6D5kpiAp7XG2iJzmpi7
VqegYRzM6uSuk+pK6E2Mv6badqCmZVKe6d3SfWkMBCSqW30s1oRJjpS/zrGovB145uE+nMZuM3Tm
R+KxBmgc54b+ACxKOln/jGZ/qadQX/6X9RTauD9uicWsD31r2v///zQiKVgFM/DE0EIF5M773n9P
Zc2fLIMIRcAWrovfhZ/6viV2sMiAAPY8AiEYyuKy/LGcoggyXQ4bnero7yXAo9/9YzmF2YbWiJqO
nfDvQf+erxUg81ziylibbQB511ChsOSl5K5HtQX8aM49a0xccmkC/YTEun0ljc+ei3FRZNlwIFPK
gj+RxKtW73ZBEaxBfkm8hsiJiryLN7NtOXbi98GvAfPOyWx9jsMthd+0dubcNq0cveuwyh5kTa5b
NVgjX3My6hLWj0ELnSZ6Ipbsnms4vziGry0LRZXRwYxa68znDlkaPvkC1EDieTfcxmrBUuLD0Opu
EwAAvM95KhCvHeNSjRtd5WutUbcUKhDJeZCYjp57nizGnFs5P2o9z1zm1HegklgyjcWpmR/LoLW2
CdE/8LmaL+P86ILP6NfO/DhbPNdAhu/ws20g88DpI/Gpqeto33MWGEbooFgZzv2cZeVOZKd+OzsU
IIn5NFEJKLG0np2e063/7cSZzx5nPoXSiJTvjIMJ4vjBm08qgpzWE0dXPJ9h0XyacSRth/l8q+aT
TpvPPBJ4SDgAC9hxHFrzuWhxQKbzSdlyZLLtxEz51eQgdfh13XyyRvMZGxrNW9jlAssm56/gII7n
E5mhl8FC0lwU82k9zue2zQHucpAzSy+uq8w4VfMZr8+nfTSf+6j7zO1kmvdivhOS3lu5XBKEnHgH
aiFW3dwfNheJPt8o4Pc3RMsdm6K9Hrhy2hRjOldQMd9FhoyevPl2yud7yp9vLI+ra+IKG6vxmf3o
hhLhVcx3XGb1txQzaIy4/nhlBYEh/ejnmxGvLS4UY7yO51vT5/r05nu0t+p3cnadBThak+0gurhQ
y5x15XQeORJ5A1du2shZR8carTwHveYcylllp74J7pxv4jurxEXDXoLixx0OvbTgGTubulS71oIW
JC28t3794gmyOMWYI5MreQk2sGx6d/VAdngneYvdwCcyKZwerLIwFsJEB2GVzp1b2cfWGD/SsEpW
jBhuUz8MjvbUr6cMSjDZtIZHGFhiM9WFvPw1nkqPlbrzFfsDQEqXsEbZk1lUGM1NW5Hn7tcnH7Ha
igFceSgcilpo+uQ4MOsvUEf4gdstACfxE4roCMz94yY2/M+09K/TeuzgMbU6K+EO1n6HU8Sf0mNl
5vp60u1qF3QTbK4em3N+GGKzWUW++RJDnVjYdttehULTTxZmrA9d95P7QhflLu1dBn5GGjLU+XYo
/08bDv7vKXcFI5m/uJ1Crp+3P7mZ+KkfbiYywPDhUtXqBJoxA/r3zWSRTkOXjfdfF2hnuX5+uZmE
8RP2fy6l+XpCv6vzC39p9IEkmZTD9hxCo4u/K2CSfzRkCSC88zXH/AmdsMf1+BuR6/ziZVqlxMQ4
gOsEe3tDDI8ssIjMqLRLGTLepsw6JampOKfJaRghcbgTEo9euR9U7AwfvXsUgYQOGpjJQIGUiybg
5HatnZt2YNv8NVCQ3UBLlRHfgoEnW5Et99LIFmIPajyLaW2jqECd+DS23YcTh+sBSUyrAY8ejZJj
T3yxWf4FIzwyqymA2EVZt4vLeld73rFhF1Kg/ZiIlcQiDSRb9iQwFg8OyuDBDDvWTSLCj2e+pXhB
WZ4+ozWSG8f3OxZ72bitQXcvcYYAE7CbA/qpfuP6Jfxp9i5WvE7C+A6mfom9nY61L9VNbsyoHLfc
DPYM8OaPO1owp5aTO/Bg5ka+4Hy7eFb6FfBPuR1NjEtRQKuhjf59nRY85p1a6fmgcZjEp0SABI6Q
+cPNKdMl1Ezsf6oY4Q64a7A+h1C2bNeG9IHmT0OLn1MeFzchORiL3PUORo+yy5HtycvN+4pOj5HN
DXJgbd3NSw/mjCgK3E9Dm5dwZn6jQuY4wvVe4ti4HZuSc8kvHIpqKyNe3LqfsuglIUt2SDnPIxdF
qxURy0xKcFzpn1D27R2IcrEyo25cw3kKUHJa5LGHT2HM3x8QVYLIrZiWNvmOnc0apMwtsc4a9G5x
glArXQ0BkS5RE9EiGMxHIl5Hx5U5+l5ORRM+w2+4VTWJOIVboim1iHsMIBFVOQT5diQbYACAsoSL
59EzJGKbFd2lKFz2Dj6fe8OowlDVQs/KF6OLrto4uqojMju1wGCZaHMxChO2j9eQ0g4nAfB4W259
qzhjLCH/VjqULGgtgiY663HxUsVVtKlS9oQEbq8UAEF74A8deioHI+13laFfm2azLOUw+0HwsgTd
vsnLh07rt0WTn8Ki2AhbgWTPIrgVTe/BpxvocNOQEZjeP7PK+Gh6ZH+x2g5RObJpqdJFbhcXfeRf
NTrXRTW0y8Tr79wk3bTkHk/ntj/5WrQZdW8fqPxiyPza7P0d+56L1rHt68d+a86lY0dyH8LfiUEM
Az2b+oYvaOQvbQ2mWYViusj5pXkmyyU8k4wpEprdTO8/w0QlK5VZzppsJR7VpHlXyF2GwkUVp7p9
oVWAWcFUb41c7kODJclEbjSNFarqhZt7asuWj3JVWf4S0tSw8TSX/p2dYqBCYir8JEbJJL52kkVS
FyZfC6t/rqbuy+QM8bpoIGsE1nA9dgyy8LigE2rtds1x1FtL9kzEl5Io2h45e2aKWUnfqSqkY3nW
7mWO1pgwAxxAD0T3uO42BDOy7QQasmCocrBCjqon2A4ESq3dXBMgN3rTcndoSOF41xaYijNR2mN3
5+mZ0d4NXq1Zx051xXGQeRo+A1Az+0vSlrsioPgrY0TehUjEJorIn62AJhl1cNv4FjlLiToIkXeb
WqvR7mn2UToqWjF+FSCW7C9VUTSsum04pbF4TjSAbGHPztvQJ/tgFXyZk9zFNy1moLYsXktfvIVx
ba5aF/uvNVWfSOiYDIQzXTIf2NnqQLzqFmTEmKjTWDYrFXnxhuHYSeT1jeZ3x8wtXpnPfE7IuAeF
vqlhrMroRqbLxlIHFnVSh57qOeVbROSwHflAKU2YSgyhqeba4U4347PfeFdaPL6kofk5GTq/JZCf
SZ8hoIpW2nQwRwVeUrI8D+rbZB4h6yHQWUUe9DENnZOepPrKU8XbEEz70LLY82rKXlbRlC/4Mp5t
Z8baSo9ORNNuGKybq8GRE1r97jTpI8YG5S95F8qdkzMTa9itby3Rc7ZDWnG8yCE1hIUaG6P7NllN
Mngya5xoroh9NLH0VG7iDbw4arOZD2pNHvI/WDkrC/3rcnBxI2SqHNaAUq5KF0wLWgS0doZziYb8
xCQC0gzpUB56hSZrqM3aN9sbxjUQtbuRzocKku7M97hAZNw9+B1AuG7In5iSH2It4W/spueu8sIN
T53gOwA6Ay+itqyL9qPxvAcO6I1eYmbPwnZhBtbOiosHFplbLXLUkkynPf3cdY9q05PFe8RFt6Cx
PQsdOYDkuYPh6yM/NmqyKup9oPVcCe0QLEyJIi9Mkr0nx1ljki9j16y2jYyGZSSaSxJ111Qim9xs
H/sMoWJCVo3oTL6AnVDrRAeJD8moYmJJJDLAtHDp0Kqs7KTfEuRsbG1mcvuWN3SJpfGil03Moqs9
dDmtYGUz02rUQ0q2OpoULkGOrI0WTcFWGwwSpz17OQ7U1jVP2jEwzGvbIA9La9BLt7me7ScT1lcP
WgvpQOUvY8faCxFdh138qOkFK8ycdQCHHAecHHZTZvJISPfaxJqHPBVFoV2oL3j/nwhqhQLjfJmE
9UXZ+qZs4AEmwTP8FHvVEm7nZ+WzXrg7S9R3A94MK9aQVozJUk/Do1kPbwEmyM4xP7wEV2UX3RBe
gR6x1e9yMR/imkTCW4f/DIV+GQqx2PqLsrugi/yzspuf+nfZzdRHoCeHjy9/iXf8oexm1cqkaMaC
fCugv5fdFsmPEs08uRTGvPgSP+zX3J+wGeCwg1rCfEm3/1YkBbfFbwZC30z63lz5QyhBTeeYFPg/
lt0sHNIy0WP9woobwYt02XlYlt19qeNu3YtEUbiQZwZQg0fS8B79lnhsf049k9J5b7P0zpnz0Fgk
rrq2JSGNqLRO0/cN0WnJnKFWQ0Nk2oA6YY5YSyzjdZhD14gqao5ZVe2rHo3tFF2sVtsT135CXLow
5uA2jDDsHUZOIKdxdznpbtOgrRwone1gF8uC/DfE2P6SDcEtZA0E+46GRznHR6AZJKlq99ocI+fP
gXLAw1Cd2Mc0fk6JnBsCJLuxjG+bOY2urhpC2+Qx08mpi8EyjXNynV6KS8jGY6ETajfJkqFRd3Qb
/2vpDccIT745p+AJhV44yH00YpwIjJ9eaHXXuKaMN0ZJM9vLXU1N/RgRrxfQTSzI4vgP9s6rt20t
XcN/ZWPuGbCXixngqLvI3XGSG0JxHPbe+evPs2Q7O7aVzAQycHSA0dzMtmOKXFzlK28pppS1b3ss
+BrBz81QnYoiez0Ilz6FZ3Cx7QvGfFMJH7/WjYJ5J7z9fBWXvxS7P1f4/pWAnQa2egiPX4DE0LXA
IrC3i2W99QwElTBpIT3bKIcXrnEeqbQYDYwGG+E4OIzOx9B0Fk1nrNEoW8rCm7DCpBAgBpqq2Bba
2Bd2wM/mHYaGgY+Udis8DgvUxQvhehhF9ScDG0R01kqwOhgjYpCoKpqHFDPVK1/3ZykmikS/9VTB
VrFyodtVGC2qGC7KwnmR3dc57swmn2Nd8i31rGvPHZbInvZz+hvHQ6ZuKX4PvZ6fjGYKp7G+42er
NKNMp7c2HRYVyI0f1hfkLfGp0yc35mmmRDFBAjsqaewMlVOfI636juj6KrTKpdlyMCCl4mGVHq2V
ppjnWUMQEKFT3UrVtdKWy9CIPuuDQnenQT3ONkjqLGdaZ5k+S9ME1Rp/WIDrX+j1GE9Ht50PgoMB
vsKeRmO5zp24QgjRha0+aEvVy04iQ1/EDky4COUqPeqOQ78Op345nJXwqiG9ndSUWUEcBtZw3yCk
f+entTbzPQe4pYli55Wao2bqgYtJpEs5d4orlB/Z55U+gO4iL4AIIrirut8jr39wDUdGDZYcWC6s
YyvtP1Zm+bWOGmRns+zS8pyl5EeXCqVQAHPGlAx/lvcW+l5WixicXC5soz5TtFjn4cBaWpSKtD5c
ZXWvz31X71DassZp2FYQ2pG8ruHYaOaw6U2Ahn3/BZnsuewMt7xokDyhdDQE0mla+Es/ko5SOqYY
hk+9MJ45krsKk2ER2Yi59tA/B33EgqG+U4oS7BvYWzXpF21iU9MKwlP45zSFIlWo/y878oQkT3gh
H2vMTIa+WcB6nLZJg48psrpRas2GpJr5gfMpCUM6wqUP9s6Bv1QE4IQTEzh/RFenkM/I2+4rGIhy
PUyH3oLdozuCILFGZ+6oKzWEaFRkW9Wu490aoNtQOKrK+6Zsz6ktzqpQv5EDj9B0wCoqAgKrGyh+
Rzh3ymTxBYq3C8THro3GfSjMitnZJke148G7t9qV4hE2SQW0Ui25cGW6rD74uzCgTG7jNePrzbqz
0pNegkaQREhCe/bnWEN+GJ9KCrfUQeQlznM4g7V3spofubSeTJSH5lEYs//1qTTJzexKa5x6Gozl
uS57yBKHK8FZyIP2zDXHG8J9EIr1pas2x2XRAvqD69g7w2wc1YVplnNNUo5ICdpZhQgtu7C2cIz6
RE7HhZ1iTedQzCty+WvsguCr1eaLBlVo2kGHOwKsdaEIvornXSqjferYOC2MI4miOXbHshmh2EaN
NMq9cJ5IgeA0GQ0Cvv2FFkuLKB4uVMf+jiwsCWEOQ6eeV6UtkdIUKbav9flQ5xe1Zd/2QeNPEwMS
Up8YDpZIavwpQld75uXt97BqQEbLH+MmBQuQnfoObFJAaFc0hakblN8Nb4B9q+Rnft8vinC8jRQV
wGyLkwJ6e1VqXJaSi6eu7HyWzPKuL/oThKuoLTWJRcXWntYKwRdcEb83znFVONFrgVLQhyO3oFJL
RaIY9BU6stHHNsahaKZQl1lIY91N7d6ex3JwRFUGJEOXjDPcSL7pMO9mQ5v1s6pUNs44nislAEDC
BW/mqcqCVDGEoYRNRY2PilNHa5BubJdQr2f0GO6yUL3IcH2gFoYGYoangl/dGyQrtSy6t8N5ZfYE
rexfpYW5CXjp236QPuZ9dhMHdES7VJvlMeAAGyJ9G6FqoY82dNwcQEUTNpclRYy5QZ1upacyknxg
R1ADVJDyfFRi+CXIX32JTKPzZZlAX4FfQ1rQIPSLftZP1PeqQIlgcDTnXLlOJp+MRXtRTGlyT53N
zVW1Bow5z6b1Kjg1lt3MX2UL/9iA9rX2l/+tK28JKUK94DcBbr1JgyreNNWO2jJ/+SPIlT8QxiJx
h7sarI4XGn/Cd4hmp06tWCjS/NT1FJEszoqo1VCPNLe/egaRIQlB1GxuUYnI7VOsfsU9+R0XRdME
SOxvpgizCK4LSDbaroj2yxSyX84i4K9aVPZxdt4Qs43rUM2N8EzR5VCd14SwF5wtLa7PsXFm5MUF
qKJ73UMWtlSTm1YBWZUoyWmhlp+hxB/HVXoVJNh4Syrg/xB3IcNYs3LwELe6pae1Hspd0akvd3dj
mD5AI+0nWatWSN2b2aXhjQslQVLBR1KtAQeNdwyM8LgO1zXaDj1l+FmptanyFX23Sd92XoxEN5Hc
EVlBGRyDoq9xLEbBfJzIaMaCcsk15KDBXHNQmW1+ZAVWsiwszD1ie9RvNLemtecmXYgrmeP5+mkZ
BtXnsHMp3LZaoi7apg1HgqLwxEK6PZzGjlFRYSgNFFG3lE0O0xa85pbKmRiC1hlD8GyQBJp0cXpn
Ce4nKroIwAg2KLTQ3EUEyOpgioaCM4pw6DoQLFIVhPaE2G9ejC6q99TVM7e9VaGeSuV4VFvSVUsB
I227I5pmM/xUTvvOQAfLBJUHibWMVSrEwSaXshO4rNIkq5t1I3ivFgRYW0Rh+OpdtY10hEvZHA2F
M1vQALRykkjdSglq4s1kBdvn1HPSswSqbZOVX2Wotw5sQhUqLjVNQg9r5Sreuem3JA5xfh1D3rXS
YBbn8rKD1FvW1GP67ghhn7tEUF4g/zp2dRwLNrCdaCr6Zt9TBVsb6MIatGFKlIhRQD0FA+ZCK8Z7
8nMJzdhq7FkO7TiFlo2xwrkNVI6m8FmKmEgFTXlEcbaFtqwn6RnvkpoeNUtozSHOmxU051EzFiRd
x2QyS2QevqhGuLChReda/dXL4EmLV+9Z9ERKnOMSZWlDqFYEr7SBYt2oPkCx8Kw01cuC1mM9SrcG
lOwYbwi4wtkM5tJRBWnbDuyJA4mbriy5QXxHGnObyf4VbJSFmxuncNEWKiRwOWwp6A7KaQc9vOUm
pg6E8QjiOA5Hx7R+pqUP+xhiuRRwgkI0zyqAAXBZHkpLvWqd/qoUnHTXa41LC5p6YHbw1V0dOSI1
OS9jHA+JgaC1B2qmwXFvGS+jL85lIGydwpRqhB0BDeFpIXBuOYC3AeCbDABOTzQiSO+yF8i4HheK
FrbSTAM0V4cD0w8UXZ7j+StwdZLmfqE2ve4E4s5OmhvUloiBNLIegcpTBT5P2SL1BGZP8ilr5q2U
wnZV1q6uX+kC4YcoCJX8njfehs5FCAyw0hNIveACcyJh8D9WuCA4XNeAB4HYTQ1CY5l8ac7s4G2p
Kvx3ATlEsmSaAkJUBRrRHyrkOIJz3Y1ONeCKCk2gxCzOcoFj7IrkPhfIRnWU0KcA6xgK1GMA/NGI
7SPcebQZ5DM0WQRG0hVoSQlD5kzgJ1XfAIUHpDIJ4MdEhC+Jmn2qBepyEPhLKRnPGgCZPcBMUyA0
JRtAXQ7rqRey2CkwThM4J6S6Y4kT2JaaeAHZP6ed0q1BHg9wk9kBoDwhfikQoqrAitJdKBZhM5xm
AkdqasF5BLC0NRsY635/45kG8x2jw1RYA0NscAUqFeQI7BGAqgTSKXgxIb8lUKzYfcQncGai/xa3
HotbBrWeX5/9N00WN0n68PbkF3/3fPLDQhVNZVQvVIUAUvSHf5S35A+0crHd4fBHE0OAmp7xTvYH
XRS+ZEXFWwFvKqK6v09+kx/Q/0Xb19mCzv/g5Ddf4Z225S183ukBqI6uowspyl8/xY9Ka5Azg1s6
Hw3/WFNAWbQYmPRROhvTMFu0BlVurHbWeh5HC8T1VnKjLIO8Pvc5RVKgtDC5abFKgml33FX5Jmr0
z24Fwjut1/2ocJLoq9E3SyxPsmHqW95n9JAuqQVHczNJNhTwzKmOB8zEjZt8OipdfJIM4B/jyK/o
wNXU3jX/pGky+zQlBbR9Ub/IHHkyUgkqneirSclWc5ULn9p/XrJKcyf81CmtaJSZ57aBEIDa0BaN
EE84p8H5zcwy+ud0tBAOsMxp0EbKEUX107q2jjQ3udGG/oFUe13pjkjZbjoSDWBG3jIzG+R5R2Bc
rXluZNZxXMOIdHzjVoMKMmb1l843F1WL4F+pSPhvOPaF7pRsSODou+gs7MIFx5kLuAV0EnJ/YDxK
6c4RKPVszGeyEZ76JU5DYz5Af4zqI8Rx6DFFowILzEkWUuh86a3kwmibU52u8lleXIJSXySUwAYL
RXaDkpXWXw0YkeMAQgOe7EhTANnH0qdWd+9ofi/MpqF50nbGSouTr8HQ3ObERrNkhJao9OHZ0DJ0
RdRcyr1LfhWZycdCPwLfhH5ubXvEdIXVnnkygibUvgBj4cE6NO21jwcH/x+fAJL4WV2kHxtuw8Wi
bRoFUj9BHn5pBDJjYyvsqQOocd5DGOKgGMp2PMsGm2bFoF0FNi27zv2mFzmFUdO80TPzSkJCZopm
/qmDUSPqABZcyJyCfVD6VxI1PwPoM0pd1Bj7IrxBQPnepqOVuglAz+hbmJYfPYeU3lSNjpZuZK5y
V+nQFHARBs56b0oEvtB0gfuyqJhiUY8UUTMbkV42xogaVLuKVNxC0qanWURvnKA2n+kmxU3Zyj9l
GA85VIxOEY7FsyWuAvweoZKlvYLuUQXOT+J4n4z9QHlHcfI1KDn4oNGVmzf2lDgbz8qAoiwIZhvt
rLSZxCX8L6SiTumYU7qpPgWmdYri2lXaZsHUClBLlJRxXCZpSH6KzdLCGVJmpqZ+ydPi2m558Ubn
zQbCJblx8VCUlJnWGqid2FcNZrqdRmNHcd0jK5LwvmHSw3K2F/1IaaLEmIjmVVSRcSOMFRZIi0jj
sIHegQVOBZ8yZkQnNSZudSvN5Mico64AhUMcvdColgGchPkQXRGiY9SJdoI3bqRo2NSteeP17U0U
Axru7QvEc1Bt8gjd8MxCfiaQPkLXTEEtW3NhbecPrXlMMaOb5HD4eO0081Jp2PBeh2O9MuCc53Th
IMHPVEl/UPtqHcvSupfrdI7+SDqXh3FDOLIa8hqvZBOwuWwFVNI6y5oMJSwJteiuE6vLEMOolaWr
ehz1msn9tFiidg0zkJ9/V2OsuwYjdolwEM+wY+mqaOSHKmFK6GYSABqzbvOyOKtikOmqoj/kuXxu
Sd2iCnsTHEesz9POolqkYCUtj+Wpq0CQT3XeNiN+gkdYSk2O2dTU6Wcdu4VFJrEHe4HtoFeCQGQ8
eCsXVMIqU4ZNYaIj57A16hFQByi5RAP6eqz980rYIlIvANwTaNc4hHTgOAEkVvIyLPWbfGSvzJRr
xSvUaTaCLpUza+N5+THmzeROejDrAtmkpdncSuaoTN0wEH5e9LZLg0kdVe7n1hw/l3Vx5Ve6t/Ji
CZs/pRFKP9ih1c11bivJrIx4v5oE/0cru2kH9E1YRX0Ny5itAsUY3zlno1vShYQMoFc3iKR8jNT6
rizQh4mj5k53RnmlqJ0yk2XVPxmrkNqr7RvTAXNvkKZQ/VC5OSqr8Do1teWYE467kfK5i2iKO3GI
irwTogpKOVTLzYlTqh9b87Krjkf3Uxec6L52mYaE1jCIQym5DSDXm0paL800w0w1Ax0SK9VKDs0H
hY1+riAG3gYmS1unKCth0IVG5xjMYytoJoGuz7CjOq3ymBhdXVl9zPYb4FI0KNfI/Jz42TACKWru
rJq+vVzUx0V9JpK22kCuz6MEiKgf6VPmBEsVD9UpFJg7ZRiXELvC01Ri+8fuY+1gNr6AVhMttLoP
J6OiaZMqt3lbrlAX945RykVwGYNO8J6Z5xS0fjV1BV7pAVVrf92lNYZX8EAM6y7MwBnh0SFYBcU4
nCm+HEz9ivdsocyHcEw9D8CcACyujt16pLwEfvlcHqVx5ZKkHrVkZNSvbXsDRGNYjj20Mz/HdJjD
I1w4hbdIDGVNGeGI3ejYdJk6tg6ppIZQLZU6tqZWzg7RFt5Er6SVX+hnul55q9SXH7RBfoBW8pUj
B0wZDheDLM0SG6ZqJPPo3GOlKdks6mMkXqN0Ynj+UqVUMaldegDo3X6C/douB6UO512BDydKjpAH
cAptJdFWMU88kat+BZej6O4V/fCVJHUqUkHWuZaDTwiaRJkCdLhl+DnFlfgBwsZxq3rWIidnLytz
GdoVIFLNShdpL0eA1mRhFENlWim6T2mNvWofXxv6MDNj4zZxigsSyXpijtFRp5uLMoDqwzoB/9Av
lDq/QUTyns31ona6dIpjTDgNzOIKxPaCDQ4/KV3gHRQ4Qj5pjDXS5DHBNuC1c27BH5tEro/qEDb0
87KvmQ8URWa+OeLZZlYA+tAeyk1MZoJM3Yz4qFCe6JCrhb6ObvEZQe6nssxPeyu2plkizRVsXTAw
/czRsmg79YqS9wkrd0UZCgPlzr/Nob0A8CEBVDhqI+U0cOsTN87ujFz5BNtQ2KRZdxVmylkP2Bkp
eZzhsF8gd/c+JgNqvooUH43BcamX697zFnmnRrMmsC99I+eMlszbJm/XY48JTxp8jXUDyjryGpU2
nIJkbFZDOdTztDfXiYK7vZmwEUo0iowA8UJDX0WZetrJ40lTahqakKSFJmqTYZckFxothJlX2xL0
dvA4ON9BMGkcwcVT6f8l6TDNK0sHNVmuKuyGZ6UcfrU6Yhi7by6sHFKKU+Ig6TlVdZoUqH4WWkfX
1MKHELByFKPJ4WxrSeq2rkReSY3JrKVjU5SdTD87craVqHhblRq3Far/lmK3pVgDZvev07GPKJA3
u8i84s9+ZGP2B1NTVQefUQWVkJ/dTknU0LSE3m3oDiVQ8yeNQv2DQyYGCEB3SOO2OdJzNqZ94DBX
SeE02VK2v/qDbOwN90QYp8IFQQZYoQmpv6Ly9rLktWWZNmcjeJWCJQ/tCUhn8ogB/2XPAPHg1+Ve
eDQq6DO47LKqyq+9HRSoJoUZ6jmRoeHcRn6Bh2GC5ea4okJsgG+o00Y/Qh1hvIb/BWLUVJDts8nd
8izEkgNw74mCzS8+naXRX/gE7dqQkSWZg4eNYxuFlfal7QvTBltftC1oeZrDrY6toBlJ8XkXxqgA
B3meqfOsixsYDxIiKLhouuknVMGcuYBZyLMqvTdivcM/PY/P9QZc1VTJaXotMrfXMLFqoOGiKIRS
bpdp53KrGNFpG4fnZY2kR5Kj6O07F5oiPxhV/i3lUHIr+cZCbgFz6KUhmRnnBk+B6SqtI3fhJGAf
kyN3QONOiyhh01yaxUPx3cdkEcHbM0XNvzdae42zGScuXODPVgS3w4Fcu5asvIRCapjHceDQCE2g
pYwqPguSpH3XwwqSg4tYWVoXufDmLibkZAYWgjaGIs5ZlVKNGlW7JeQb1WWdWreDIn2KVXAkWejT
0a9rT7UmHOigKJCtmANYwVZWF5eA3qdEZnlb6rXWz0w79a8wlgZQbCnl3OllpMUBdTCKSElMqghJ
N10qQa1CrynMGg1gCanHn9beDt0HVaguvOgoIJUFWh6NK53FwbR+WVcohrLwPHSZzziANoBnlWs0
hSf0QelGpZSPJ1AH58nSmpdzTvBjfaHNqZdN/61ZhOhc/H0fUMY0fAAollD5kOGH2aJ/9lN9w+gR
wkXaLzsjtD/GV7WfRl7hktcQjdhW5MyL1gXjqprwYV1bXntW6R4rvCMzKgBYW8OZ4+LPZavjl7rP
nEWlwiav63zh2uMXy3BxaHGxSaVYeEcpHG/RssBlq6KS2Hcu2D4fwCfu5HOw9stOASLkIsSnY6Q0
Gs5q1ADEqepS1w0EJWsseQMHeEmSrkIQ2xkYtkkm5/Ou805VGDpkCNCjsFLD+SWE8I5JX9c72rLw
RANf8269LluBlluTWslknPlSjphollMA15XD69+/4pebyJaMRyoHG0F3qB9pr91EnFHtnDxxyzO5
xWOHjQD1gZKzHf/lOX72OMkWHtiwHzv6rllFtezl2wSK9fN3vnqbUt9aZRt51VnhaZ8R4p/2wEHA
D1krPWkQAqbE7ZlUUyw0kY2YOr6hp8PpWGI9CN3qNAvsT3JQFRNK4N+xASacK9ZqZl7K7nhveMWX
pAuKWZEW+X8F859KpLyBH29QmIk8GYEI3f9//uNz85U3/NoaBNeNHwcydFAZhw5In5b9KIbxd3lU
4aw2ZRSDqYS+pIM6/MYBMij63k/t1OcD2UaE2IbHw6+2/uN/pK6BIOCLCSfa65aGgAfUG2IDU4Fd
+mL7iOuyluEzy+d1mH2C74C1dKRJJ6rUEM3iw3hpZKw5gCbOWR+51SKDwDitK/24zAw4BylQ8EB3
jNOyhO+l2xEa2Z25bLvmOrb7fF2OEq0RWaewdq+gPA6ip0O+E+r4aHZHjmsvyJPkGarYy0ZYUKUO
VplWp992abnSAz+9YZdFWDbP783OhpSf35YKnoJ0czhqveI+HpxollV6SuDerfq871Gryvz0Utbs
pRLq+oWkmScuDIl53cnuNOkkF7Za2SBWR9Li1hur8e7dxEYxaoDR5mFLcgRVIJkUmXQFuTy+cGAK
wqqnyxBrJfCfwbJmLjq/U0+CcZG6A5VZHXU5R/tWBSYhPl3HOiAl8aNPgard1JmTz6RQfcixH8SN
zLstIcIGRXXUQHlAEkBZgRL5JsukeqHvryIHTo8crisUtJLUOwlH50aBwYksGii/UpVvcotkcOQl
1H5eT3H0xT6kxm+kqfCrtKpPdkepE5Nh9lwDfoQuX9ixrsx8N7gMHHR2pKSDtTgMqFfRofkulzlI
HNFhDE7aIfOOtLC6akzwer1BOXMsk2pqmfEkNCnoIh06s0ZQoYUkgShLHdXCo6uOqwh6aJnMg7Sy
zx01H5YxngITsuUjRPUdGO7lg1q0FC9Gy7uUGlTox8C4dwCmnxWD+j3OjMEkn8vkGZx854wkERPh
FL9TN0KrrjYoE6Zxmh97yDX7VJQBPNvnSHhA3DKplntD9h3uDRUDJTtuSvUsz3LE2+mZYZvCOaM0
qKEohrQM+5YjSGm+mLn/MYqQDSkbZ1qoPh0BFbGUymNwY3oDEyCQH60AMKqbfU1Ifmh/6cd6Kl0q
dv6dkv688ftlg6r+NCU6mcp1qR2ZcXGUm8lxXxtz3dPOByU61zV8rxzhBSBn4Z3cubdGIlWrOsJs
xZes27L2DG5bPXVz4inJpnxdFIkQeJWvkqE+lrtgWUThVRDgANvEnzu5/IoHZoZWINS3oWrP7DJq
Zkh7iOM0XRs2g2vo0jEG1PrSlIU8DF6pMyCWpxB27znrtVlVD3e5pjaTVslBmYuif42p99C3R5E7
yvR55bMu7r76jDVO2Lk7Tc2gmGRq/klL87UDLsq0s0Xoa3QxED6uZTT3SsTbpLgrUOTPsmkUNif9
EBXI6caAIwbjWy3gpgXsvcQOTwu3VKdBnkRTqqRLzGi+2GFxAm71VonGj4pUXXJ/ENAFvbpzkO1G
koEbnnlj22HVGq1t0IaQnuWrytG+DLWTn3s60jsBjI1jirHSETWgcpa2wWkbwdVupAc/j65sMzUQ
zqFNCmTTrY5ci6uMpW+sEvLi0qWdEmqk70miXoYyxQRb0yGAKNU4kTIrmiYZk3iw43ZKveQcfBjt
mg45S1R/oknvAXlQZVDQhnwPMzGcbo+X/wf01qdb3Omn9QOLI357kQVpfZPNXzty/Uf/6Dm53H2h
p5P2PzPoksk+X5zc2xvbWoT99jrxBhul5hunOyB84nsHMSuUMMWH2DvOUu/p12g9qAKlBKxf4Td8
109j9KtR+P0DXr3xLnt7nV/f/M+RiGE4ZNd//Pw84N+Pb31QDZ3NU3Hk7YcU58XjU1Gg8UsuD9ly
+zmEQQBe9joeE0zjPx4JrvPTUDgfHOIwQyXw2n7IFV4MhfCGgK2BcsfjrPs/ngk7BkHmZ3sPgqGo
mo7v0eMgvFkOSJ8wYRRFiD3/3y+HN4MgbnvvQbA+UDyDIU+AvnsmoJkH3sESOMcDHAOKBPuvBoqM
THRwub+YCGwMFCWQsrEeK5qHtxq016XWPz8cdEzLSMRsjaRKfEjlX2wJGDgCOUFo4XHOHd4YCGe0
PXcEzG2Y6TKl1lcPz34I6oc6NAL04nOYGwKLgbe29xiAf1Ipn1vbJxX77It5wFCQ/TtsnI+lhAOc
CPsvBgehUB6RLeEXg4BlIKsFPPehno8CnbbnTDDQQ1FBtwgLBfF5HS+JmYD3IefjwW4Jr6tdf7wt
ohdjiYq4KgJn8XkTKelMFV3jfDzYA5Jb3nMm2B8whjQJFx/HQIQdr/cEUgrqd1t/+MPdHkUlc8+h
AB6qK4YhCpbbz5vtUejlofuDmPD2uw5we9x/ZzA/WOBgGYWn9OH1fBABE2YpCAce6vYoLO32ngkG
InAKYumvVwNpNLVkSzMOdUsQotT7PT1iWaIBoNNLf/30BJJ0BlAKedoxD3QZPGW2j134H/WZP6qn
qB/o+4PRFfpiL/ZDYmWk83Hw0ShbiM+BjoGyf8jMGPD8hk5Xfvt5kzYYH1BiZ6sgrhafQ42chd3U
fktCA5BC+4t5r2+f9E0GRbzEL2VQuY9R5aEOhfK4be2zMtDMxx1UlXGBf/y8XiA2W6RjmsBTDnVp
7J9JGR80a1teepz5b+JnTklRj8VS4DFCO7xQQdl/UZgfeDwKSPrTTrgjVIBl61BjO9RBEFCZPXcG
m8ozgjnm04n4JolgJqh4vBNTHuxJsX/3gdnOKcEjPhWY3kTOKlAAQ0E36DFKP7zl8IZf9sfppGZ9
cGzB3NJ/0YPgjOAEURA1PdT0QUAq9lsOxI6kULQXaBxuP69jBlFYEFpRgEgO9HQQEd9+g6BpBE5k
zLb5q6IzlXlEZYFPHWycsH9hQf+AjLaqAXt8DBPeBNLsnDArUQ17TLcPdSiEYv6e88H8AAITiQbB
EhWf10NBc5bCNKU451C3x6eu8X5xI7Vn8mbrqe7K+36RWLEzQH7FqkkocjDgh3dGPN3YPoPAGSH0
9QygdL+aCXCM2RzFHDnIQXgqCO8zCAgG0mpig3w6KN+cEQARIesrcPkfP4c6FHuXWogZmPAsCdjo
28/rRUH06JiYX6jEVtvPoQ7F3pEDCBYVzoVOtvCLyIFuNYED+jiHWnp7whLsszRECZr3bFlPg/B6
PqiQXMB5oxp0sOHT/sel9UGTcaT5kVO9OS4JMm2q9Cg5PC+aw9wq964z0KIimwCr8xw5sMxeH5oG
3A6dSsOB7gxvzCD+OLEipwCdQc0Vptj2syO7pCArYwZxqOGTEA3ZO4ZEs2zLbfvF9ghEHwEQMPgH
uz3un1NQSzHRW9HkpxhyV+RAU1vQYA50OQjy1X4zQbRnqLsRRD5lEwzryz2BYgvHJITCx+86vEBa
23sQSLFhhqJI/VR/fVuA5RARnBRsYg90Jmj7H5Q2GyPwNkAcj8Hhm5kgjg/xP0rV4nOw82Hvg1Kj
K2HAbCTBfByK17VoyE26rMq0NQ91Z3i6sX2iR1GLJq0Sp8Tz+369M8BkpkV1sIOgPb6dfQbBonst
Q2Gj5v74ebs96qoMs1sobx5k3Ph0Y/sNAnklPLnn5fBmZyCZUhEYdfSD3RP2jxYotnBK6li4Py6H
HdGC6tC+cpzDbtrq+9cZ9A8Mgigr/RrVgzmaJlQInhfNQS6Np+m639IQRWc6VU/7w5vsUvnA3qEQ
RB4qwOnpxvYYBAF91IS4xTM14M1xqULrBdxBRfZAN0lhM7JfIE3FCaMDk6LTU175Zn/YgoAgHAvM
+EEuB2PvnYFsAviOSavmFzsDvQnw4IRNyuMueqjnxRtx8D+uM1CMRXMRaJ/5qy62IMiLnpV1qMV5
IVOz56KgAokqDySBp/mwY3tEmBF04OGm2PsnViBbNGSGaMjtDqQFqMMRp8QTbODwUuw3Ak1/vhxA
v4No0+RfUUq3g0CXxhQS9Ye5Pe5fdoM/ZoF0o57yOo3gCLVoXgOI/c+f/j+YJz+4x1M/iL9tqck4
WG6xq4+U23/7D555u28v8BPddEu6ffEvBVX58dqPpFTx3//afMO4fBZUdRnc1+q2J/vTb597tNtv
evr7p0d8++Uvvuz5uZ5/uAoeyk15jxDBlov9dKOPyiX/EyNg8m3zmiwr+iTPP9tNs/6xE/7+6nmw
SzhacA//ftR//uPlSPy0zf724snmW1Y+X+jo2z//8SjVIioxe198glz+w/N1fro229/e155u4k3L
K6mer/XT9QmT9r8+et3Vm1dKGkak9Q4XT+ty89c02+kzLVby3l8xe4j/OsvKneNPCWPv68/jv2ZZ
yeR5vtZP40/gu/f1F+VDle66OFv53hdfxg9p+nydn278PZbrqkm+ZvG3+u3lBfFh71s/SvKHMtjE
z5f6++4Fnn7/y6fDjkEXoOy9L33yUO4Yc9EW3P/SQert2AgEgnjva59uoh17mOAWvcOlq+ph15i8
xwI9zaq//if1HuKHXSPzHkt0vfnGBvw8Dj9NxPdYoutNGewamvdYouLayDLvuHX1PZbo+iH9lt0H
u3YvAcDYe9qsH8r7h2/PF/p73AUJdP+LZ9z783V+uvZ7LNM1Dq87Lv0eq5RL1w/lw7Dj8u+xUs82
+a7Z8h7r9Oyh3byNHbGBfo8lel5u2AJ2DMp7LNGLeHP/sCN2FAC8vefhBUrSu4I7oT+z98WvAkLH
Kvi2Y2RE53fv619v7ktSgrTeMd1FV/UdviD9a/KQBju/4D2W6vVGfEGZbspvOzcyofnxLk8xCx68
XaP0HqtWPMSCFXAfVPe7vuM9lq/4juNsUzS7TivtPdaw+IbTJqj+Ov8aVPmu53iPxSy+Zb2pH3Zd
/z3WM9dH73OyKb9udsUMooP0HvOJ75jGu7/hfRa2eApEDMfn2/37iBQw/P0fwd/szAkFSG3/i1PD
2Dn477KYgyoKhqx5vs+fBuZd1nIWb3ZFDwIosP/A/M56flvv2aN+c/3vbD/3/gJRZtlxDota+95D
c/Pgb5IdsY9o7Ox/cWL8oN4RtAkQ2v5Xb9gJdhzxQhnhHS7+W0O3fd/p7w0K9r365yzesc8Lu7e9
x+U3Ks6/v+tdZdkfHJu3xdpndcddf/ayFi3+xX38sCn/9b8AAAD//w==</cx:binary>
              </cx:geoCache>
            </cx:geography>
          </cx:layoutPr>
          <cx:valueColors>
            <cx:minColor>
              <a:srgbClr val="BEEE96"/>
            </cx:minColor>
            <cx:maxColor>
              <a:srgbClr val="339933"/>
            </cx:maxColor>
          </cx:valueColors>
        </cx:series>
      </cx:plotAreaRegion>
    </cx:plotArea>
  </cx:chart>
  <cx:spPr>
    <a:ln>
      <a:noFill/>
    </a:ln>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image" Target="../media/image1.emf"/><Relationship Id="rId1" Type="http://schemas.openxmlformats.org/officeDocument/2006/relationships/chart" Target="../charts/chart1.xml"/><Relationship Id="rId6" Type="http://schemas.openxmlformats.org/officeDocument/2006/relationships/image" Target="../media/image2.png"/><Relationship Id="rId11" Type="http://schemas.microsoft.com/office/2014/relationships/chartEx" Target="../charts/chartEx3.xml"/><Relationship Id="rId5" Type="http://schemas.openxmlformats.org/officeDocument/2006/relationships/chart" Target="../charts/chart4.xml"/><Relationship Id="rId10" Type="http://schemas.microsoft.com/office/2014/relationships/chartEx" Target="../charts/chartEx2.xml"/><Relationship Id="rId4" Type="http://schemas.openxmlformats.org/officeDocument/2006/relationships/chart" Target="../charts/chart3.xml"/><Relationship Id="rId9"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3</xdr:col>
      <xdr:colOff>1</xdr:colOff>
      <xdr:row>0</xdr:row>
      <xdr:rowOff>0</xdr:rowOff>
    </xdr:from>
    <xdr:to>
      <xdr:col>25</xdr:col>
      <xdr:colOff>601981</xdr:colOff>
      <xdr:row>43</xdr:row>
      <xdr:rowOff>0</xdr:rowOff>
    </xdr:to>
    <xdr:sp macro="" textlink="">
      <xdr:nvSpPr>
        <xdr:cNvPr id="3" name="Rectangle 2">
          <a:extLst>
            <a:ext uri="{FF2B5EF4-FFF2-40B4-BE49-F238E27FC236}">
              <a16:creationId xmlns:a16="http://schemas.microsoft.com/office/drawing/2014/main" id="{E05C4349-22E5-4ECD-B4E6-229391C7FFA8}"/>
            </a:ext>
          </a:extLst>
        </xdr:cNvPr>
        <xdr:cNvSpPr/>
      </xdr:nvSpPr>
      <xdr:spPr>
        <a:xfrm>
          <a:off x="1786468" y="0"/>
          <a:ext cx="14013180" cy="8009467"/>
        </a:xfrm>
        <a:prstGeom prst="rect">
          <a:avLst/>
        </a:prstGeom>
        <a:solidFill>
          <a:schemeClr val="bg1">
            <a:lumMod val="75000"/>
          </a:schemeClr>
        </a:solidFill>
        <a:ln>
          <a:solidFill>
            <a:srgbClr val="BEEE96"/>
          </a:solidFill>
        </a:ln>
        <a:effectLst>
          <a:outerShdw blurRad="50800" dist="38100" algn="l" rotWithShape="0">
            <a:prstClr val="black">
              <a:alpha val="40000"/>
            </a:prstClr>
          </a:outerShdw>
        </a:effectLst>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355598</xdr:colOff>
      <xdr:row>0</xdr:row>
      <xdr:rowOff>103910</xdr:rowOff>
    </xdr:from>
    <xdr:to>
      <xdr:col>18</xdr:col>
      <xdr:colOff>321732</xdr:colOff>
      <xdr:row>13</xdr:row>
      <xdr:rowOff>173181</xdr:rowOff>
    </xdr:to>
    <xdr:sp macro="" textlink="">
      <xdr:nvSpPr>
        <xdr:cNvPr id="20" name="Rectangle 19">
          <a:extLst>
            <a:ext uri="{FF2B5EF4-FFF2-40B4-BE49-F238E27FC236}">
              <a16:creationId xmlns:a16="http://schemas.microsoft.com/office/drawing/2014/main" id="{A41F3241-6BE7-847B-3519-6F283374AB20}"/>
            </a:ext>
          </a:extLst>
        </xdr:cNvPr>
        <xdr:cNvSpPr/>
      </xdr:nvSpPr>
      <xdr:spPr>
        <a:xfrm>
          <a:off x="7028871" y="103910"/>
          <a:ext cx="4249497" cy="247072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3</xdr:col>
      <xdr:colOff>76200</xdr:colOff>
      <xdr:row>43</xdr:row>
      <xdr:rowOff>8466</xdr:rowOff>
    </xdr:to>
    <xdr:sp macro="" textlink="">
      <xdr:nvSpPr>
        <xdr:cNvPr id="2" name="Rectangle 1">
          <a:extLst>
            <a:ext uri="{FF2B5EF4-FFF2-40B4-BE49-F238E27FC236}">
              <a16:creationId xmlns:a16="http://schemas.microsoft.com/office/drawing/2014/main" id="{700562B0-B5B6-F090-C1AB-CE58DF1C1613}"/>
            </a:ext>
          </a:extLst>
        </xdr:cNvPr>
        <xdr:cNvSpPr/>
      </xdr:nvSpPr>
      <xdr:spPr>
        <a:xfrm>
          <a:off x="0" y="0"/>
          <a:ext cx="1862667" cy="8017933"/>
        </a:xfrm>
        <a:prstGeom prst="rect">
          <a:avLst/>
        </a:prstGeom>
        <a:solidFill>
          <a:schemeClr val="tx1"/>
        </a:solidFill>
        <a:ln>
          <a:noFill/>
        </a:ln>
        <a:effectLst>
          <a:outerShdw blurRad="50800" dist="38100" algn="l" rotWithShape="0">
            <a:prstClr val="black">
              <a:alpha val="40000"/>
            </a:prstClr>
          </a:outerShdw>
        </a:effectLst>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149322</xdr:colOff>
      <xdr:row>3</xdr:row>
      <xdr:rowOff>130025</xdr:rowOff>
    </xdr:from>
    <xdr:to>
      <xdr:col>2</xdr:col>
      <xdr:colOff>191655</xdr:colOff>
      <xdr:row>5</xdr:row>
      <xdr:rowOff>146958</xdr:rowOff>
    </xdr:to>
    <xdr:sp macro="" textlink="Pivots!G4">
      <xdr:nvSpPr>
        <xdr:cNvPr id="4" name="TextBox 3">
          <a:extLst>
            <a:ext uri="{FF2B5EF4-FFF2-40B4-BE49-F238E27FC236}">
              <a16:creationId xmlns:a16="http://schemas.microsoft.com/office/drawing/2014/main" id="{8272F35E-C4B0-672A-EC92-E50264072A74}"/>
            </a:ext>
          </a:extLst>
        </xdr:cNvPr>
        <xdr:cNvSpPr txBox="1"/>
      </xdr:nvSpPr>
      <xdr:spPr>
        <a:xfrm>
          <a:off x="149322" y="684207"/>
          <a:ext cx="1450878" cy="386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78A5DC-3237-49E7-A6CB-F31009C0947F}" type="TxLink">
            <a:rPr lang="en-US" sz="2000" b="1" i="0" u="none" strike="noStrike">
              <a:gradFill>
                <a:gsLst>
                  <a:gs pos="80000">
                    <a:schemeClr val="bg1">
                      <a:lumMod val="65000"/>
                    </a:schemeClr>
                  </a:gs>
                  <a:gs pos="98000">
                    <a:srgbClr val="F1F6F3"/>
                  </a:gs>
                  <a:gs pos="9600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0"/>
              </a:gradFill>
              <a:effectLst>
                <a:outerShdw blurRad="50800" dist="38100" dir="5400000" algn="t" rotWithShape="0">
                  <a:prstClr val="black">
                    <a:alpha val="40000"/>
                  </a:prstClr>
                </a:outerShdw>
              </a:effectLst>
              <a:latin typeface="Aptos Narrow"/>
            </a:rPr>
            <a:pPr/>
            <a:t>2,400</a:t>
          </a:fld>
          <a:endParaRPr lang="en-IN" sz="2000" b="1">
            <a:gradFill>
              <a:gsLst>
                <a:gs pos="80000">
                  <a:schemeClr val="bg1">
                    <a:lumMod val="65000"/>
                  </a:schemeClr>
                </a:gs>
                <a:gs pos="98000">
                  <a:srgbClr val="F1F6F3"/>
                </a:gs>
                <a:gs pos="9600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0"/>
            </a:gradFill>
            <a:effectLst>
              <a:outerShdw blurRad="50800" dist="38100" dir="5400000" algn="t" rotWithShape="0">
                <a:prstClr val="black">
                  <a:alpha val="40000"/>
                </a:prstClr>
              </a:outerShdw>
            </a:effectLst>
          </a:endParaRPr>
        </a:p>
      </xdr:txBody>
    </xdr:sp>
    <xdr:clientData/>
  </xdr:twoCellAnchor>
  <xdr:twoCellAnchor>
    <xdr:from>
      <xdr:col>0</xdr:col>
      <xdr:colOff>103140</xdr:colOff>
      <xdr:row>6</xdr:row>
      <xdr:rowOff>162559</xdr:rowOff>
    </xdr:from>
    <xdr:to>
      <xdr:col>2</xdr:col>
      <xdr:colOff>145473</xdr:colOff>
      <xdr:row>9</xdr:row>
      <xdr:rowOff>57728</xdr:rowOff>
    </xdr:to>
    <xdr:sp macro="" textlink="Pivots!H4">
      <xdr:nvSpPr>
        <xdr:cNvPr id="5" name="TextBox 4">
          <a:extLst>
            <a:ext uri="{FF2B5EF4-FFF2-40B4-BE49-F238E27FC236}">
              <a16:creationId xmlns:a16="http://schemas.microsoft.com/office/drawing/2014/main" id="{CA802405-536F-44CE-A644-3DDE7AA5705C}"/>
            </a:ext>
          </a:extLst>
        </xdr:cNvPr>
        <xdr:cNvSpPr txBox="1"/>
      </xdr:nvSpPr>
      <xdr:spPr>
        <a:xfrm>
          <a:off x="103140" y="1270923"/>
          <a:ext cx="1450878" cy="449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B7B99C4-6C8E-46ED-8372-C67EEDB47727}" type="TxLink">
            <a:rPr lang="en-US" sz="2000" b="1" i="0" u="none" strike="noStrike">
              <a:gradFill>
                <a:gsLst>
                  <a:gs pos="80000">
                    <a:schemeClr val="bg1">
                      <a:lumMod val="65000"/>
                    </a:schemeClr>
                  </a:gs>
                  <a:gs pos="98000">
                    <a:srgbClr val="F1F6F3"/>
                  </a:gs>
                  <a:gs pos="9600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0"/>
              </a:gradFill>
              <a:effectLst>
                <a:outerShdw blurRad="50800" dist="38100" dir="5400000" algn="t" rotWithShape="0">
                  <a:prstClr val="black">
                    <a:alpha val="40000"/>
                  </a:prstClr>
                </a:outerShdw>
              </a:effectLst>
              <a:latin typeface="Aptos Narrow"/>
              <a:ea typeface="+mn-ea"/>
              <a:cs typeface="+mn-cs"/>
            </a:rPr>
            <a:pPr marL="0" indent="0"/>
            <a:t>11,997</a:t>
          </a:fld>
          <a:endParaRPr lang="en-IN" sz="2000" b="1" i="0" u="none" strike="noStrike">
            <a:gradFill>
              <a:gsLst>
                <a:gs pos="80000">
                  <a:schemeClr val="bg1">
                    <a:lumMod val="65000"/>
                  </a:schemeClr>
                </a:gs>
                <a:gs pos="98000">
                  <a:srgbClr val="F1F6F3"/>
                </a:gs>
                <a:gs pos="9600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0"/>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137776</xdr:colOff>
      <xdr:row>10</xdr:row>
      <xdr:rowOff>132374</xdr:rowOff>
    </xdr:from>
    <xdr:to>
      <xdr:col>2</xdr:col>
      <xdr:colOff>180109</xdr:colOff>
      <xdr:row>13</xdr:row>
      <xdr:rowOff>123907</xdr:rowOff>
    </xdr:to>
    <xdr:sp macro="" textlink="Pivots!I4">
      <xdr:nvSpPr>
        <xdr:cNvPr id="6" name="TextBox 5">
          <a:extLst>
            <a:ext uri="{FF2B5EF4-FFF2-40B4-BE49-F238E27FC236}">
              <a16:creationId xmlns:a16="http://schemas.microsoft.com/office/drawing/2014/main" id="{050A43B6-73E6-4283-8ECE-90B8D07C4387}"/>
            </a:ext>
          </a:extLst>
        </xdr:cNvPr>
        <xdr:cNvSpPr txBox="1"/>
      </xdr:nvSpPr>
      <xdr:spPr>
        <a:xfrm>
          <a:off x="137776" y="1979647"/>
          <a:ext cx="1450878" cy="545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B909D7F-8FA8-4217-8873-AF4FA51B3998}" type="TxLink">
            <a:rPr lang="en-US" sz="2000" b="1" i="0" u="none" strike="noStrike">
              <a:gradFill flip="none" rotWithShape="1">
                <a:gsLst>
                  <a:gs pos="0">
                    <a:srgbClr val="FFFF00"/>
                  </a:gs>
                  <a:gs pos="23000">
                    <a:srgbClr val="FFFF00"/>
                  </a:gs>
                  <a:gs pos="69000">
                    <a:srgbClr val="BFBB19"/>
                  </a:gs>
                  <a:gs pos="97000">
                    <a:srgbClr val="E5F608"/>
                  </a:gs>
                </a:gsLst>
                <a:path path="circle">
                  <a:fillToRect l="50000" t="50000" r="50000" b="50000"/>
                </a:path>
                <a:tileRect/>
              </a:gradFill>
              <a:effectLst>
                <a:outerShdw blurRad="50800" dist="38100" dir="5400000" algn="t" rotWithShape="0">
                  <a:prstClr val="black">
                    <a:alpha val="40000"/>
                  </a:prstClr>
                </a:outerShdw>
              </a:effectLst>
              <a:latin typeface="Aptos Narrow"/>
              <a:ea typeface="+mn-ea"/>
              <a:cs typeface="+mn-cs"/>
            </a:rPr>
            <a:pPr marL="0" indent="0"/>
            <a:t>$649.0k</a:t>
          </a:fld>
          <a:endParaRPr lang="en-IN" sz="2000" b="1" i="0" u="none" strike="noStrike">
            <a:gradFill flip="none" rotWithShape="1">
              <a:gsLst>
                <a:gs pos="0">
                  <a:srgbClr val="FFFF00"/>
                </a:gs>
                <a:gs pos="23000">
                  <a:srgbClr val="FFFF00"/>
                </a:gs>
                <a:gs pos="69000">
                  <a:srgbClr val="BFBB19"/>
                </a:gs>
                <a:gs pos="97000">
                  <a:srgbClr val="E5F608"/>
                </a:gs>
              </a:gsLst>
              <a:path path="circle">
                <a:fillToRect l="50000" t="50000" r="50000" b="50000"/>
              </a:path>
              <a:tileRect/>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172412</xdr:colOff>
      <xdr:row>14</xdr:row>
      <xdr:rowOff>67552</xdr:rowOff>
    </xdr:from>
    <xdr:to>
      <xdr:col>2</xdr:col>
      <xdr:colOff>214745</xdr:colOff>
      <xdr:row>16</xdr:row>
      <xdr:rowOff>152218</xdr:rowOff>
    </xdr:to>
    <xdr:sp macro="" textlink="Pivots!J4">
      <xdr:nvSpPr>
        <xdr:cNvPr id="7" name="TextBox 6">
          <a:extLst>
            <a:ext uri="{FF2B5EF4-FFF2-40B4-BE49-F238E27FC236}">
              <a16:creationId xmlns:a16="http://schemas.microsoft.com/office/drawing/2014/main" id="{FB8A9F06-3521-476A-8EA4-6E65814986BB}"/>
            </a:ext>
          </a:extLst>
        </xdr:cNvPr>
        <xdr:cNvSpPr txBox="1"/>
      </xdr:nvSpPr>
      <xdr:spPr>
        <a:xfrm>
          <a:off x="172412" y="2653734"/>
          <a:ext cx="1450878" cy="454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F6FC4E7-8F9E-4943-B1CA-E9C7F9DCA588}" type="TxLink">
            <a:rPr lang="en-US" sz="2000" b="1" i="0" u="none" strike="noStrike">
              <a:gradFill>
                <a:gsLst>
                  <a:gs pos="80000">
                    <a:schemeClr val="bg1">
                      <a:lumMod val="65000"/>
                    </a:schemeClr>
                  </a:gs>
                  <a:gs pos="98000">
                    <a:srgbClr val="F1F6F3"/>
                  </a:gs>
                  <a:gs pos="9600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0"/>
              </a:gradFill>
              <a:effectLst>
                <a:outerShdw blurRad="50800" dist="38100" dir="5400000" algn="t" rotWithShape="0">
                  <a:prstClr val="black">
                    <a:alpha val="40000"/>
                  </a:prstClr>
                </a:outerShdw>
              </a:effectLst>
              <a:latin typeface="Aptos Narrow"/>
              <a:ea typeface="+mn-ea"/>
              <a:cs typeface="+mn-cs"/>
            </a:rPr>
            <a:pPr marL="0" indent="0"/>
            <a:t>4.0</a:t>
          </a:fld>
          <a:endParaRPr lang="en-IN" sz="2000" b="1" i="0" u="none" strike="noStrike">
            <a:gradFill>
              <a:gsLst>
                <a:gs pos="80000">
                  <a:schemeClr val="bg1">
                    <a:lumMod val="65000"/>
                  </a:schemeClr>
                </a:gs>
                <a:gs pos="98000">
                  <a:srgbClr val="F1F6F3"/>
                </a:gs>
                <a:gs pos="9600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0"/>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183957</xdr:colOff>
      <xdr:row>17</xdr:row>
      <xdr:rowOff>171298</xdr:rowOff>
    </xdr:from>
    <xdr:to>
      <xdr:col>2</xdr:col>
      <xdr:colOff>226290</xdr:colOff>
      <xdr:row>20</xdr:row>
      <xdr:rowOff>162831</xdr:rowOff>
    </xdr:to>
    <xdr:sp macro="" textlink="Pivots!K4">
      <xdr:nvSpPr>
        <xdr:cNvPr id="8" name="TextBox 7">
          <a:extLst>
            <a:ext uri="{FF2B5EF4-FFF2-40B4-BE49-F238E27FC236}">
              <a16:creationId xmlns:a16="http://schemas.microsoft.com/office/drawing/2014/main" id="{0C711921-9820-4FB2-9FED-0DF8C10F70E6}"/>
            </a:ext>
          </a:extLst>
        </xdr:cNvPr>
        <xdr:cNvSpPr txBox="1"/>
      </xdr:nvSpPr>
      <xdr:spPr>
        <a:xfrm>
          <a:off x="183957" y="3311662"/>
          <a:ext cx="1450878" cy="545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9C0CC97-1A72-41FB-BD89-9CED75E481BE}" type="TxLink">
            <a:rPr lang="en-US" sz="2000" b="1" i="0" u="none" strike="noStrike">
              <a:gradFill>
                <a:gsLst>
                  <a:gs pos="80000">
                    <a:schemeClr val="bg1">
                      <a:lumMod val="65000"/>
                    </a:schemeClr>
                  </a:gs>
                  <a:gs pos="98000">
                    <a:srgbClr val="F1F6F3"/>
                  </a:gs>
                  <a:gs pos="9600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0"/>
              </a:gradFill>
              <a:effectLst>
                <a:outerShdw blurRad="50800" dist="38100" dir="5400000" algn="t" rotWithShape="0">
                  <a:prstClr val="black">
                    <a:alpha val="40000"/>
                  </a:prstClr>
                </a:outerShdw>
              </a:effectLst>
              <a:latin typeface="Aptos Narrow"/>
              <a:ea typeface="+mn-ea"/>
              <a:cs typeface="+mn-cs"/>
            </a:rPr>
            <a:pPr marL="0" indent="0"/>
            <a:t>2.3</a:t>
          </a:fld>
          <a:endParaRPr lang="en-IN" sz="2000" b="1" i="0" u="none" strike="noStrike">
            <a:gradFill>
              <a:gsLst>
                <a:gs pos="80000">
                  <a:schemeClr val="bg1">
                    <a:lumMod val="65000"/>
                  </a:schemeClr>
                </a:gs>
                <a:gs pos="98000">
                  <a:srgbClr val="F1F6F3"/>
                </a:gs>
                <a:gs pos="9600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0"/>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149322</xdr:colOff>
      <xdr:row>2</xdr:row>
      <xdr:rowOff>159647</xdr:rowOff>
    </xdr:from>
    <xdr:to>
      <xdr:col>1</xdr:col>
      <xdr:colOff>750456</xdr:colOff>
      <xdr:row>4</xdr:row>
      <xdr:rowOff>34186</xdr:rowOff>
    </xdr:to>
    <xdr:sp macro="" textlink="">
      <xdr:nvSpPr>
        <xdr:cNvPr id="9" name="TextBox 8">
          <a:extLst>
            <a:ext uri="{FF2B5EF4-FFF2-40B4-BE49-F238E27FC236}">
              <a16:creationId xmlns:a16="http://schemas.microsoft.com/office/drawing/2014/main" id="{3117FBC3-23D2-09FC-641B-34738E8EBB02}"/>
            </a:ext>
          </a:extLst>
        </xdr:cNvPr>
        <xdr:cNvSpPr txBox="1"/>
      </xdr:nvSpPr>
      <xdr:spPr>
        <a:xfrm>
          <a:off x="149322" y="529102"/>
          <a:ext cx="970589" cy="243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🛒Orders</a:t>
          </a:r>
        </a:p>
      </xdr:txBody>
    </xdr:sp>
    <xdr:clientData/>
  </xdr:twoCellAnchor>
  <xdr:twoCellAnchor>
    <xdr:from>
      <xdr:col>0</xdr:col>
      <xdr:colOff>103141</xdr:colOff>
      <xdr:row>6</xdr:row>
      <xdr:rowOff>5240</xdr:rowOff>
    </xdr:from>
    <xdr:to>
      <xdr:col>1</xdr:col>
      <xdr:colOff>704275</xdr:colOff>
      <xdr:row>7</xdr:row>
      <xdr:rowOff>64507</xdr:rowOff>
    </xdr:to>
    <xdr:sp macro="" textlink="">
      <xdr:nvSpPr>
        <xdr:cNvPr id="10" name="TextBox 9">
          <a:extLst>
            <a:ext uri="{FF2B5EF4-FFF2-40B4-BE49-F238E27FC236}">
              <a16:creationId xmlns:a16="http://schemas.microsoft.com/office/drawing/2014/main" id="{BEC9752A-9B67-4275-9717-7EA5A87E036D}"/>
            </a:ext>
          </a:extLst>
        </xdr:cNvPr>
        <xdr:cNvSpPr txBox="1"/>
      </xdr:nvSpPr>
      <xdr:spPr>
        <a:xfrm>
          <a:off x="103141" y="1113604"/>
          <a:ext cx="970589" cy="243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👕Quantity</a:t>
          </a:r>
        </a:p>
      </xdr:txBody>
    </xdr:sp>
    <xdr:clientData/>
  </xdr:twoCellAnchor>
  <xdr:twoCellAnchor>
    <xdr:from>
      <xdr:col>0</xdr:col>
      <xdr:colOff>103140</xdr:colOff>
      <xdr:row>9</xdr:row>
      <xdr:rowOff>148237</xdr:rowOff>
    </xdr:from>
    <xdr:to>
      <xdr:col>1</xdr:col>
      <xdr:colOff>704274</xdr:colOff>
      <xdr:row>11</xdr:row>
      <xdr:rowOff>22776</xdr:rowOff>
    </xdr:to>
    <xdr:sp macro="" textlink="">
      <xdr:nvSpPr>
        <xdr:cNvPr id="11" name="TextBox 10">
          <a:extLst>
            <a:ext uri="{FF2B5EF4-FFF2-40B4-BE49-F238E27FC236}">
              <a16:creationId xmlns:a16="http://schemas.microsoft.com/office/drawing/2014/main" id="{04DD26C9-951E-414C-B020-C78BE6518894}"/>
            </a:ext>
          </a:extLst>
        </xdr:cNvPr>
        <xdr:cNvSpPr txBox="1"/>
      </xdr:nvSpPr>
      <xdr:spPr>
        <a:xfrm>
          <a:off x="103140" y="1810782"/>
          <a:ext cx="970589" cy="243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 Amount</a:t>
          </a:r>
        </a:p>
      </xdr:txBody>
    </xdr:sp>
    <xdr:clientData/>
  </xdr:twoCellAnchor>
  <xdr:twoCellAnchor>
    <xdr:from>
      <xdr:col>0</xdr:col>
      <xdr:colOff>137775</xdr:colOff>
      <xdr:row>13</xdr:row>
      <xdr:rowOff>118051</xdr:rowOff>
    </xdr:from>
    <xdr:to>
      <xdr:col>1</xdr:col>
      <xdr:colOff>738909</xdr:colOff>
      <xdr:row>14</xdr:row>
      <xdr:rowOff>177318</xdr:rowOff>
    </xdr:to>
    <xdr:sp macro="" textlink="">
      <xdr:nvSpPr>
        <xdr:cNvPr id="12" name="TextBox 11">
          <a:extLst>
            <a:ext uri="{FF2B5EF4-FFF2-40B4-BE49-F238E27FC236}">
              <a16:creationId xmlns:a16="http://schemas.microsoft.com/office/drawing/2014/main" id="{E09F369E-8D47-4823-8F8F-E33C3F06744D}"/>
            </a:ext>
          </a:extLst>
        </xdr:cNvPr>
        <xdr:cNvSpPr txBox="1"/>
      </xdr:nvSpPr>
      <xdr:spPr>
        <a:xfrm>
          <a:off x="137775" y="2519506"/>
          <a:ext cx="970589" cy="243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⭐Avg</a:t>
          </a:r>
          <a:r>
            <a:rPr lang="en-IN" sz="1100" baseline="0">
              <a:solidFill>
                <a:schemeClr val="bg1"/>
              </a:solidFill>
            </a:rPr>
            <a:t> Rating</a:t>
          </a:r>
          <a:endParaRPr lang="en-IN" sz="1100">
            <a:solidFill>
              <a:schemeClr val="bg1"/>
            </a:solidFill>
          </a:endParaRPr>
        </a:p>
      </xdr:txBody>
    </xdr:sp>
    <xdr:clientData/>
  </xdr:twoCellAnchor>
  <xdr:twoCellAnchor>
    <xdr:from>
      <xdr:col>0</xdr:col>
      <xdr:colOff>172413</xdr:colOff>
      <xdr:row>16</xdr:row>
      <xdr:rowOff>169453</xdr:rowOff>
    </xdr:from>
    <xdr:to>
      <xdr:col>2</xdr:col>
      <xdr:colOff>70813</xdr:colOff>
      <xdr:row>18</xdr:row>
      <xdr:rowOff>27060</xdr:rowOff>
    </xdr:to>
    <xdr:sp macro="" textlink="">
      <xdr:nvSpPr>
        <xdr:cNvPr id="13" name="TextBox 12">
          <a:extLst>
            <a:ext uri="{FF2B5EF4-FFF2-40B4-BE49-F238E27FC236}">
              <a16:creationId xmlns:a16="http://schemas.microsoft.com/office/drawing/2014/main" id="{602D5709-FA9A-4020-B5B4-DAFC9F1A1A2B}"/>
            </a:ext>
          </a:extLst>
        </xdr:cNvPr>
        <xdr:cNvSpPr txBox="1"/>
      </xdr:nvSpPr>
      <xdr:spPr>
        <a:xfrm>
          <a:off x="172413" y="3125089"/>
          <a:ext cx="1306945" cy="227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📅Days</a:t>
          </a:r>
          <a:r>
            <a:rPr lang="en-IN" sz="1100" baseline="0">
              <a:solidFill>
                <a:schemeClr val="bg1"/>
              </a:solidFill>
            </a:rPr>
            <a:t> to Deliver</a:t>
          </a:r>
          <a:endParaRPr lang="en-IN" sz="1100">
            <a:solidFill>
              <a:schemeClr val="bg1"/>
            </a:solidFill>
          </a:endParaRPr>
        </a:p>
      </xdr:txBody>
    </xdr:sp>
    <xdr:clientData/>
  </xdr:twoCellAnchor>
  <xdr:twoCellAnchor>
    <xdr:from>
      <xdr:col>3</xdr:col>
      <xdr:colOff>279399</xdr:colOff>
      <xdr:row>0</xdr:row>
      <xdr:rowOff>80818</xdr:rowOff>
    </xdr:from>
    <xdr:to>
      <xdr:col>11</xdr:col>
      <xdr:colOff>59266</xdr:colOff>
      <xdr:row>14</xdr:row>
      <xdr:rowOff>57727</xdr:rowOff>
    </xdr:to>
    <xdr:graphicFrame macro="">
      <xdr:nvGraphicFramePr>
        <xdr:cNvPr id="14" name="Chart 13">
          <a:extLst>
            <a:ext uri="{FF2B5EF4-FFF2-40B4-BE49-F238E27FC236}">
              <a16:creationId xmlns:a16="http://schemas.microsoft.com/office/drawing/2014/main" id="{023DF8E1-FBB1-4459-A1E5-5E687E2F4F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12</xdr:col>
          <xdr:colOff>100832</xdr:colOff>
          <xdr:row>3</xdr:row>
          <xdr:rowOff>97751</xdr:rowOff>
        </xdr:from>
        <xdr:to>
          <xdr:col>17</xdr:col>
          <xdr:colOff>337897</xdr:colOff>
          <xdr:row>14</xdr:row>
          <xdr:rowOff>46180</xdr:rowOff>
        </xdr:to>
        <xdr:pic>
          <xdr:nvPicPr>
            <xdr:cNvPr id="19" name="Picture 18">
              <a:extLst>
                <a:ext uri="{FF2B5EF4-FFF2-40B4-BE49-F238E27FC236}">
                  <a16:creationId xmlns:a16="http://schemas.microsoft.com/office/drawing/2014/main" id="{2E1A6642-B5B4-4CD7-EA02-AC790D78E646}"/>
                </a:ext>
              </a:extLst>
            </xdr:cNvPr>
            <xdr:cNvPicPr>
              <a:picLocks noChangeAspect="1" noChangeArrowheads="1"/>
              <a:extLst>
                <a:ext uri="{84589F7E-364E-4C9E-8A38-B11213B215E9}">
                  <a14:cameraTool cellRange="Pivots2!$H$4:$L$10" spid="_x0000_s1119"/>
                </a:ext>
              </a:extLst>
            </xdr:cNvPicPr>
          </xdr:nvPicPr>
          <xdr:blipFill>
            <a:blip xmlns:r="http://schemas.openxmlformats.org/officeDocument/2006/relationships" r:embed="rId2"/>
            <a:srcRect/>
            <a:stretch>
              <a:fillRect/>
            </a:stretch>
          </xdr:blipFill>
          <xdr:spPr bwMode="auto">
            <a:xfrm>
              <a:off x="7386014" y="651933"/>
              <a:ext cx="3296610" cy="198042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19</xdr:col>
      <xdr:colOff>67734</xdr:colOff>
      <xdr:row>0</xdr:row>
      <xdr:rowOff>80817</xdr:rowOff>
    </xdr:from>
    <xdr:to>
      <xdr:col>25</xdr:col>
      <xdr:colOff>173182</xdr:colOff>
      <xdr:row>14</xdr:row>
      <xdr:rowOff>11544</xdr:rowOff>
    </xdr:to>
    <xdr:graphicFrame macro="">
      <xdr:nvGraphicFramePr>
        <xdr:cNvPr id="21" name="Chart 20">
          <a:extLst>
            <a:ext uri="{FF2B5EF4-FFF2-40B4-BE49-F238E27FC236}">
              <a16:creationId xmlns:a16="http://schemas.microsoft.com/office/drawing/2014/main" id="{C1B305C6-D2DF-4B4F-924A-B5B3F2D582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335585</xdr:colOff>
      <xdr:row>16</xdr:row>
      <xdr:rowOff>0</xdr:rowOff>
    </xdr:from>
    <xdr:to>
      <xdr:col>11</xdr:col>
      <xdr:colOff>64654</xdr:colOff>
      <xdr:row>42</xdr:row>
      <xdr:rowOff>138545</xdr:rowOff>
    </xdr:to>
    <xdr:graphicFrame macro="">
      <xdr:nvGraphicFramePr>
        <xdr:cNvPr id="23" name="Chart 22">
          <a:extLst>
            <a:ext uri="{FF2B5EF4-FFF2-40B4-BE49-F238E27FC236}">
              <a16:creationId xmlns:a16="http://schemas.microsoft.com/office/drawing/2014/main" id="{A0006470-A1D6-4745-81BD-DEBE3E989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5</xdr:col>
      <xdr:colOff>363296</xdr:colOff>
      <xdr:row>30</xdr:row>
      <xdr:rowOff>100830</xdr:rowOff>
    </xdr:from>
    <xdr:to>
      <xdr:col>8</xdr:col>
      <xdr:colOff>278630</xdr:colOff>
      <xdr:row>38</xdr:row>
      <xdr:rowOff>76971</xdr:rowOff>
    </xdr:to>
    <xdr:graphicFrame macro="">
      <xdr:nvGraphicFramePr>
        <xdr:cNvPr id="25" name="Chart 24">
          <a:extLst>
            <a:ext uri="{FF2B5EF4-FFF2-40B4-BE49-F238E27FC236}">
              <a16:creationId xmlns:a16="http://schemas.microsoft.com/office/drawing/2014/main" id="{934E9DD9-53CB-49DC-B127-4336A03A57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160867</xdr:colOff>
      <xdr:row>0</xdr:row>
      <xdr:rowOff>67734</xdr:rowOff>
    </xdr:from>
    <xdr:to>
      <xdr:col>2</xdr:col>
      <xdr:colOff>293195</xdr:colOff>
      <xdr:row>2</xdr:row>
      <xdr:rowOff>142412</xdr:rowOff>
    </xdr:to>
    <xdr:pic>
      <xdr:nvPicPr>
        <xdr:cNvPr id="28" name="Picture 27">
          <a:extLst>
            <a:ext uri="{FF2B5EF4-FFF2-40B4-BE49-F238E27FC236}">
              <a16:creationId xmlns:a16="http://schemas.microsoft.com/office/drawing/2014/main" id="{7C938C49-2AA4-4D96-8AE2-E0F5C99B7E0F}"/>
            </a:ext>
          </a:extLst>
        </xdr:cNvPr>
        <xdr:cNvPicPr>
          <a:picLocks noChangeAspect="1"/>
        </xdr:cNvPicPr>
      </xdr:nvPicPr>
      <xdr:blipFill>
        <a:blip xmlns:r="http://schemas.openxmlformats.org/officeDocument/2006/relationships" r:embed="rId6" cstate="print">
          <a:duotone>
            <a:schemeClr val="accent6">
              <a:shade val="45000"/>
              <a:satMod val="135000"/>
            </a:schemeClr>
            <a:prstClr val="white"/>
          </a:duotone>
          <a:extLst>
            <a:ext uri="{28A0092B-C50C-407E-A947-70E740481C1C}">
              <a14:useLocalDpi xmlns:a14="http://schemas.microsoft.com/office/drawing/2010/main" val="0"/>
            </a:ext>
          </a:extLst>
        </a:blip>
        <a:srcRect/>
        <a:stretch/>
      </xdr:blipFill>
      <xdr:spPr>
        <a:xfrm>
          <a:off x="160867" y="67734"/>
          <a:ext cx="1540873" cy="444133"/>
        </a:xfrm>
        <a:prstGeom prst="rect">
          <a:avLst/>
        </a:prstGeom>
      </xdr:spPr>
    </xdr:pic>
    <xdr:clientData/>
  </xdr:twoCellAnchor>
  <xdr:twoCellAnchor>
    <xdr:from>
      <xdr:col>19</xdr:col>
      <xdr:colOff>62347</xdr:colOff>
      <xdr:row>15</xdr:row>
      <xdr:rowOff>160866</xdr:rowOff>
    </xdr:from>
    <xdr:to>
      <xdr:col>25</xdr:col>
      <xdr:colOff>230909</xdr:colOff>
      <xdr:row>28</xdr:row>
      <xdr:rowOff>150090</xdr:rowOff>
    </xdr:to>
    <xdr:graphicFrame macro="">
      <xdr:nvGraphicFramePr>
        <xdr:cNvPr id="29" name="Chart 28">
          <a:extLst>
            <a:ext uri="{FF2B5EF4-FFF2-40B4-BE49-F238E27FC236}">
              <a16:creationId xmlns:a16="http://schemas.microsoft.com/office/drawing/2014/main" id="{183739D2-5636-4E29-BD9E-08A450B2BB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29249</xdr:colOff>
      <xdr:row>30</xdr:row>
      <xdr:rowOff>40023</xdr:rowOff>
    </xdr:from>
    <xdr:to>
      <xdr:col>25</xdr:col>
      <xdr:colOff>219364</xdr:colOff>
      <xdr:row>42</xdr:row>
      <xdr:rowOff>46183</xdr:rowOff>
    </xdr:to>
    <xdr:graphicFrame macro="">
      <xdr:nvGraphicFramePr>
        <xdr:cNvPr id="30" name="Chart 29">
          <a:extLst>
            <a:ext uri="{FF2B5EF4-FFF2-40B4-BE49-F238E27FC236}">
              <a16:creationId xmlns:a16="http://schemas.microsoft.com/office/drawing/2014/main" id="{7AB48A2A-8C40-4F25-B116-3BEF6A38BC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184727</xdr:colOff>
      <xdr:row>21</xdr:row>
      <xdr:rowOff>157710</xdr:rowOff>
    </xdr:from>
    <xdr:to>
      <xdr:col>2</xdr:col>
      <xdr:colOff>242455</xdr:colOff>
      <xdr:row>32</xdr:row>
      <xdr:rowOff>0</xdr:rowOff>
    </xdr:to>
    <mc:AlternateContent xmlns:mc="http://schemas.openxmlformats.org/markup-compatibility/2006" xmlns:a14="http://schemas.microsoft.com/office/drawing/2010/main">
      <mc:Choice Requires="a14">
        <xdr:graphicFrame macro="">
          <xdr:nvGraphicFramePr>
            <xdr:cNvPr id="31" name="Order Mode">
              <a:extLst>
                <a:ext uri="{FF2B5EF4-FFF2-40B4-BE49-F238E27FC236}">
                  <a16:creationId xmlns:a16="http://schemas.microsoft.com/office/drawing/2014/main" id="{9657657D-9713-4AB7-AD3B-291F76C84A96}"/>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84727" y="4036983"/>
              <a:ext cx="1466273" cy="18742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171334</xdr:colOff>
      <xdr:row>33</xdr:row>
      <xdr:rowOff>115453</xdr:rowOff>
    </xdr:from>
    <xdr:to>
      <xdr:col>2</xdr:col>
      <xdr:colOff>230910</xdr:colOff>
      <xdr:row>42</xdr:row>
      <xdr:rowOff>7388</xdr:rowOff>
    </xdr:to>
    <mc:AlternateContent xmlns:mc="http://schemas.openxmlformats.org/markup-compatibility/2006" xmlns:a14="http://schemas.microsoft.com/office/drawing/2010/main">
      <mc:Choice Requires="a14">
        <xdr:graphicFrame macro="">
          <xdr:nvGraphicFramePr>
            <xdr:cNvPr id="32" name="Gender Value">
              <a:extLst>
                <a:ext uri="{FF2B5EF4-FFF2-40B4-BE49-F238E27FC236}">
                  <a16:creationId xmlns:a16="http://schemas.microsoft.com/office/drawing/2014/main" id="{88830109-76D2-433E-8EE4-86CCFC8F4BE3}"/>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71334" y="6211453"/>
              <a:ext cx="1468121"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323272</xdr:colOff>
      <xdr:row>1</xdr:row>
      <xdr:rowOff>11546</xdr:rowOff>
    </xdr:from>
    <xdr:to>
      <xdr:col>16</xdr:col>
      <xdr:colOff>380999</xdr:colOff>
      <xdr:row>2</xdr:row>
      <xdr:rowOff>127000</xdr:rowOff>
    </xdr:to>
    <xdr:sp macro="" textlink="">
      <xdr:nvSpPr>
        <xdr:cNvPr id="34" name="TextBox 33">
          <a:extLst>
            <a:ext uri="{FF2B5EF4-FFF2-40B4-BE49-F238E27FC236}">
              <a16:creationId xmlns:a16="http://schemas.microsoft.com/office/drawing/2014/main" id="{672FED17-F49D-3C59-6D05-4DBC37E3D4DF}"/>
            </a:ext>
          </a:extLst>
        </xdr:cNvPr>
        <xdr:cNvSpPr txBox="1"/>
      </xdr:nvSpPr>
      <xdr:spPr>
        <a:xfrm>
          <a:off x="8220363" y="196273"/>
          <a:ext cx="1893454" cy="300182"/>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1400" b="0" cap="none" spc="0">
              <a:ln w="0"/>
              <a:solidFill>
                <a:schemeClr val="tx1"/>
              </a:solidFill>
              <a:effectLst>
                <a:outerShdw blurRad="38100" dist="19050" dir="2700000" algn="tl" rotWithShape="0">
                  <a:schemeClr val="dk1">
                    <a:alpha val="40000"/>
                  </a:schemeClr>
                </a:outerShdw>
              </a:effectLst>
            </a:rPr>
            <a:t>How they like to buy?</a:t>
          </a:r>
        </a:p>
      </xdr:txBody>
    </xdr:sp>
    <xdr:clientData/>
  </xdr:twoCellAnchor>
  <xdr:twoCellAnchor>
    <xdr:from>
      <xdr:col>15</xdr:col>
      <xdr:colOff>600363</xdr:colOff>
      <xdr:row>20</xdr:row>
      <xdr:rowOff>0</xdr:rowOff>
    </xdr:from>
    <xdr:to>
      <xdr:col>18</xdr:col>
      <xdr:colOff>57727</xdr:colOff>
      <xdr:row>31</xdr:row>
      <xdr:rowOff>11546</xdr:rowOff>
    </xdr:to>
    <mc:AlternateContent xmlns:mc="http://schemas.openxmlformats.org/markup-compatibility/2006">
      <mc:Choice xmlns:cx1="http://schemas.microsoft.com/office/drawing/2015/9/8/chartex" Requires="cx1">
        <xdr:graphicFrame macro="">
          <xdr:nvGraphicFramePr>
            <xdr:cNvPr id="36" name="Chart 35">
              <a:extLst>
                <a:ext uri="{FF2B5EF4-FFF2-40B4-BE49-F238E27FC236}">
                  <a16:creationId xmlns:a16="http://schemas.microsoft.com/office/drawing/2014/main" id="{9C2E4482-A491-4E84-AC35-F9C62E80F9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9706263" y="3657600"/>
              <a:ext cx="1286164" cy="202322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285558</xdr:colOff>
      <xdr:row>15</xdr:row>
      <xdr:rowOff>138546</xdr:rowOff>
    </xdr:from>
    <xdr:to>
      <xdr:col>18</xdr:col>
      <xdr:colOff>369455</xdr:colOff>
      <xdr:row>42</xdr:row>
      <xdr:rowOff>57728</xdr:rowOff>
    </xdr:to>
    <mc:AlternateContent xmlns:mc="http://schemas.openxmlformats.org/markup-compatibility/2006">
      <mc:Choice xmlns:cx4="http://schemas.microsoft.com/office/drawing/2016/5/10/chartex" Requires="cx4">
        <xdr:graphicFrame macro="">
          <xdr:nvGraphicFramePr>
            <xdr:cNvPr id="37" name="Chart 36">
              <a:extLst>
                <a:ext uri="{FF2B5EF4-FFF2-40B4-BE49-F238E27FC236}">
                  <a16:creationId xmlns:a16="http://schemas.microsoft.com/office/drawing/2014/main" id="{05FE3346-56D4-4A94-9305-4337AF439D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6953058" y="2881746"/>
              <a:ext cx="4351097" cy="485694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447195</xdr:colOff>
      <xdr:row>20</xdr:row>
      <xdr:rowOff>115455</xdr:rowOff>
    </xdr:from>
    <xdr:to>
      <xdr:col>17</xdr:col>
      <xdr:colOff>519547</xdr:colOff>
      <xdr:row>31</xdr:row>
      <xdr:rowOff>0</xdr:rowOff>
    </xdr:to>
    <mc:AlternateContent xmlns:mc="http://schemas.openxmlformats.org/markup-compatibility/2006">
      <mc:Choice xmlns:cx4="http://schemas.microsoft.com/office/drawing/2016/5/10/chartex" Requires="cx4">
        <xdr:graphicFrame macro="">
          <xdr:nvGraphicFramePr>
            <xdr:cNvPr id="38" name="Chart 37">
              <a:extLst>
                <a:ext uri="{FF2B5EF4-FFF2-40B4-BE49-F238E27FC236}">
                  <a16:creationId xmlns:a16="http://schemas.microsoft.com/office/drawing/2014/main" id="{932953F8-8BAA-4095-B717-7B03416CAF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9553095" y="3773055"/>
              <a:ext cx="1291552" cy="18962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0</xdr:row>
      <xdr:rowOff>0</xdr:rowOff>
    </xdr:from>
    <xdr:to>
      <xdr:col>26</xdr:col>
      <xdr:colOff>0</xdr:colOff>
      <xdr:row>43</xdr:row>
      <xdr:rowOff>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981200" y="0"/>
          <a:ext cx="13258800" cy="7863840"/>
        </a:xfrm>
        <a:prstGeom prst="rect">
          <a:avLst/>
        </a:prstGeom>
        <a:solidFill>
          <a:schemeClr val="accent3">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0</xdr:colOff>
      <xdr:row>43</xdr:row>
      <xdr:rowOff>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1981200" cy="7863840"/>
        </a:xfrm>
        <a:prstGeom prst="rect">
          <a:avLst/>
        </a:prstGeom>
        <a:solidFill>
          <a:schemeClr val="accent5">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206339</xdr:colOff>
      <xdr:row>0</xdr:row>
      <xdr:rowOff>101429</xdr:rowOff>
    </xdr:from>
    <xdr:to>
      <xdr:col>2</xdr:col>
      <xdr:colOff>0</xdr:colOff>
      <xdr:row>3</xdr:row>
      <xdr:rowOff>0</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06339" y="101429"/>
          <a:ext cx="1546261" cy="44721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AV'S" refreshedDate="46057.617695833331" createdVersion="8" refreshedVersion="8" minRefreshableVersion="3" recordCount="2400" xr:uid="{0BC02D4B-A0C0-4B18-8D4B-1FE6C6555D2D}">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ount="1764">
        <n v="10.9"/>
        <n v="61.2"/>
        <n v="328.20000000000005"/>
        <n v="263.90000000000003"/>
        <n v="170.10000000000002"/>
        <n v="1002"/>
        <n v="55.3"/>
        <n v="80.599999999999994"/>
        <n v="392.70000000000005"/>
        <n v="156.79999999999998"/>
        <n v="108.8"/>
        <n v="98"/>
        <n v="830.19999999999993"/>
        <n v="2386.8000000000002"/>
        <n v="66.7"/>
        <n v="309"/>
        <n v="93.300000000000011"/>
        <n v="109.80000000000001"/>
        <n v="408.8"/>
        <n v="25.2"/>
        <n v="219"/>
        <n v="560.40000000000009"/>
        <n v="1518.1000000000001"/>
        <n v="211.2"/>
        <n v="710.4"/>
        <n v="175"/>
        <n v="348.3"/>
        <n v="228.8"/>
        <n v="254.5"/>
        <n v="287"/>
        <n v="133.70000000000002"/>
        <n v="830.5"/>
        <n v="89.699999999999989"/>
        <n v="130.19999999999999"/>
        <n v="64"/>
        <n v="31.6"/>
        <n v="3452.7"/>
        <n v="507"/>
        <n v="26.5"/>
        <n v="43.1"/>
        <n v="417"/>
        <n v="80.7"/>
        <n v="109"/>
        <n v="205.79999999999998"/>
        <n v="543.6"/>
        <n v="283.60000000000002"/>
        <n v="318.5"/>
        <n v="29.7"/>
        <n v="80.400000000000006"/>
        <n v="27"/>
        <n v="41.4"/>
        <n v="48.6"/>
        <n v="125.10000000000001"/>
        <n v="36"/>
        <n v="273.89999999999998"/>
        <n v="154.4"/>
        <n v="821.6"/>
        <n v="299.7"/>
        <n v="128.4"/>
        <n v="69.300000000000011"/>
        <n v="142.19999999999999"/>
        <n v="23"/>
        <n v="1314.8"/>
        <n v="26.8"/>
        <n v="93.6"/>
        <n v="226.4"/>
        <n v="168"/>
        <n v="178.2"/>
        <n v="97.7"/>
        <n v="390.8"/>
        <n v="89.6"/>
        <n v="511.2"/>
        <n v="35.799999999999997"/>
        <n v="96.8"/>
        <n v="177.6"/>
        <n v="829.6"/>
        <n v="234.4"/>
        <n v="219.2"/>
        <n v="236.39999999999998"/>
        <n v="184"/>
        <n v="303.60000000000002"/>
        <n v="110.39999999999999"/>
        <n v="376.2"/>
        <n v="77.3"/>
        <n v="79.2"/>
        <n v="62"/>
        <n v="46.8"/>
        <n v="257.40000000000003"/>
        <n v="273.5"/>
        <n v="783"/>
        <n v="100.8"/>
        <n v="799.5"/>
        <n v="120.4"/>
        <n v="374"/>
        <n v="194.70000000000002"/>
        <n v="101"/>
        <n v="441"/>
        <n v="280.79999999999995"/>
        <n v="1242"/>
        <n v="320"/>
        <n v="115.5"/>
        <n v="106"/>
        <n v="55.5"/>
        <n v="253.5"/>
        <n v="218.4"/>
        <n v="586.80000000000007"/>
        <n v="181.6"/>
        <n v="1440"/>
        <n v="75.599999999999994"/>
        <n v="32"/>
        <n v="74.599999999999994"/>
        <n v="119.8"/>
        <n v="52.8"/>
        <n v="459"/>
        <n v="457"/>
        <n v="1111.1999999999998"/>
        <n v="360.6"/>
        <n v="132.89999999999998"/>
        <n v="189.89999999999998"/>
        <n v="66.8"/>
        <n v="119.4"/>
        <n v="552"/>
        <n v="175.2"/>
        <n v="232.6"/>
        <n v="263.5"/>
        <n v="102.60000000000001"/>
        <n v="23.3"/>
        <n v="673.4"/>
        <n v="1592.1"/>
        <n v="227.39999999999998"/>
        <n v="404.09999999999997"/>
        <n v="97.6"/>
        <n v="20.3"/>
        <n v="254.79999999999998"/>
        <n v="19"/>
        <n v="17.8"/>
        <n v="837.59999999999991"/>
        <n v="31.7"/>
        <n v="210.4"/>
        <n v="95.6"/>
        <n v="208.20000000000002"/>
        <n v="309.60000000000002"/>
        <n v="105.6"/>
        <n v="62.8"/>
        <n v="39.700000000000003"/>
        <n v="124.4"/>
        <n v="351"/>
        <n v="228.4"/>
        <n v="449.5"/>
        <n v="336.7"/>
        <n v="58.6"/>
        <n v="115.2"/>
        <n v="202.5"/>
        <n v="911.39999999999986"/>
        <n v="161.19999999999999"/>
        <n v="259"/>
        <n v="183.89999999999998"/>
        <n v="490"/>
        <n v="112.5"/>
        <n v="300"/>
        <n v="120"/>
        <n v="308"/>
        <n v="172.8"/>
        <n v="50.7"/>
        <n v="122"/>
        <n v="39.799999999999997"/>
        <n v="78.3"/>
        <n v="197.6"/>
        <n v="36.1"/>
        <n v="34.6"/>
        <n v="61"/>
        <n v="4346.2"/>
        <n v="76.099999999999994"/>
        <n v="444.6"/>
        <n v="151.5"/>
        <n v="262.5"/>
        <n v="315.7"/>
        <n v="364"/>
        <n v="13.3"/>
        <n v="47.099999999999994"/>
        <n v="51.2"/>
        <n v="43.4"/>
        <n v="300.59999999999997"/>
        <n v="1045"/>
        <n v="70.800000000000011"/>
        <n v="936"/>
        <n v="103.6"/>
        <n v="172.5"/>
        <n v="5654.5"/>
        <n v="334.59999999999997"/>
        <n v="20.399999999999999"/>
        <n v="328"/>
        <n v="355.59999999999997"/>
        <n v="118.80000000000001"/>
        <n v="139"/>
        <n v="260.8"/>
        <n v="98.2"/>
        <n v="98.8"/>
        <n v="455.69999999999993"/>
        <n v="104.2"/>
        <n v="516.79999999999995"/>
        <n v="1554.2"/>
        <n v="24.9"/>
        <n v="148.19999999999999"/>
        <n v="45.4"/>
        <n v="545.5"/>
        <n v="215.6"/>
        <n v="551.19999999999993"/>
        <n v="276"/>
        <n v="138.60000000000002"/>
        <n v="487"/>
        <n v="105"/>
        <n v="65.400000000000006"/>
        <n v="192"/>
        <n v="204.60000000000002"/>
        <n v="107.8"/>
        <n v="248.4"/>
        <n v="231.70000000000002"/>
        <n v="176"/>
        <n v="96.300000000000011"/>
        <n v="38.1"/>
        <n v="65.2"/>
        <n v="386.40000000000003"/>
        <n v="137.69999999999999"/>
        <n v="174.89999999999998"/>
        <n v="44.6"/>
        <n v="213"/>
        <n v="2369.7999999999997"/>
        <n v="202.79999999999998"/>
        <n v="400.20000000000005"/>
        <n v="212.4"/>
        <n v="172.2"/>
        <n v="290.5"/>
        <n v="95.4"/>
        <n v="94.5"/>
        <n v="391.3"/>
        <n v="72.8"/>
        <n v="236.5"/>
        <n v="247.5"/>
        <n v="14.3"/>
        <n v="345.6"/>
        <n v="427.20000000000005"/>
        <n v="30.2"/>
        <n v="195.89999999999998"/>
        <n v="90.2"/>
        <n v="431.90000000000003"/>
        <n v="135.30000000000001"/>
        <n v="113.5"/>
        <n v="17.600000000000001"/>
        <n v="22.6"/>
        <n v="160.19999999999999"/>
        <n v="562.1"/>
        <n v="55"/>
        <n v="33.5"/>
        <n v="59.5"/>
        <n v="94"/>
        <n v="49.7"/>
        <n v="176.8"/>
        <n v="22.1"/>
        <n v="272.70000000000005"/>
        <n v="133.5"/>
        <n v="193.79999999999998"/>
        <n v="243.5"/>
        <n v="527.20000000000005"/>
        <n v="209.5"/>
        <n v="337.5"/>
        <n v="60.4"/>
        <n v="212.79999999999998"/>
        <n v="49"/>
        <n v="317.70000000000005"/>
        <n v="621.59999999999991"/>
        <n v="200.39999999999998"/>
        <n v="336.9"/>
        <n v="564.59999999999991"/>
        <n v="40.700000000000003"/>
        <n v="142.80000000000001"/>
        <n v="280.8"/>
        <n v="151.19999999999999"/>
        <n v="84.300000000000011"/>
        <n v="308.39999999999998"/>
        <n v="195.4"/>
        <n v="255.2"/>
        <n v="40.200000000000003"/>
        <n v="16.2"/>
        <n v="566.30000000000007"/>
        <n v="571.20000000000005"/>
        <n v="563.20000000000005"/>
        <n v="53.5"/>
        <n v="381.70000000000005"/>
        <n v="306.90000000000003"/>
        <n v="1435.7"/>
        <n v="55.2"/>
        <n v="78"/>
        <n v="28.4"/>
        <n v="204.29999999999998"/>
        <n v="297"/>
        <n v="95.1"/>
        <n v="121.6"/>
        <n v="102.4"/>
        <n v="69.8"/>
        <n v="256.20000000000005"/>
        <n v="23.9"/>
        <n v="124.3"/>
        <n v="215.39999999999998"/>
        <n v="138.19999999999999"/>
        <n v="58.4"/>
        <n v="555.90000000000009"/>
        <n v="170.79999999999998"/>
        <n v="200"/>
        <n v="129"/>
        <n v="322"/>
        <n v="114.8"/>
        <n v="165.3"/>
        <n v="279.89999999999998"/>
        <n v="3005.7999999999997"/>
        <n v="149.80000000000001"/>
        <n v="182"/>
        <n v="225"/>
        <n v="151.6"/>
        <n v="48.5"/>
        <n v="296.70000000000005"/>
        <n v="610.79999999999995"/>
        <n v="508.20000000000005"/>
        <n v="20.7"/>
        <n v="520.19999999999993"/>
        <n v="213.8"/>
        <n v="226"/>
        <n v="449.8"/>
        <n v="43.8"/>
        <n v="36.700000000000003"/>
        <n v="81.599999999999994"/>
        <n v="58.2"/>
        <n v="76.800000000000011"/>
        <n v="21.2"/>
        <n v="96.4"/>
        <n v="333.6"/>
        <n v="135.89999999999998"/>
        <n v="42"/>
        <n v="196.20000000000002"/>
        <n v="385.2"/>
        <n v="135"/>
        <n v="39.6"/>
        <n v="239.39999999999998"/>
        <n v="254.4"/>
        <n v="927"/>
        <n v="193.6"/>
        <n v="288"/>
        <n v="324"/>
        <n v="431.2"/>
        <n v="435.59999999999997"/>
        <n v="99.8"/>
        <n v="155.10000000000002"/>
        <n v="125.39999999999999"/>
        <n v="144.80000000000001"/>
        <n v="150.9"/>
        <n v="310.39999999999998"/>
        <n v="327.5"/>
        <n v="270.29999999999995"/>
        <n v="216.6"/>
        <n v="179.7"/>
        <n v="2363"/>
        <n v="261.89999999999998"/>
        <n v="169.2"/>
        <n v="828.8"/>
        <n v="181.8"/>
        <n v="1614.4"/>
        <n v="180"/>
        <n v="499.79999999999995"/>
        <n v="1025.0999999999999"/>
        <n v="721.8"/>
        <n v="340"/>
        <n v="948"/>
        <n v="74"/>
        <n v="302"/>
        <n v="138.6"/>
        <n v="405"/>
        <n v="124.5"/>
        <n v="139.4"/>
        <n v="418"/>
        <n v="150.5"/>
        <n v="112.80000000000001"/>
        <n v="140.4"/>
        <n v="25.4"/>
        <n v="137"/>
        <n v="122.6"/>
        <n v="129.4"/>
        <n v="365.6"/>
        <n v="66.2"/>
        <n v="139.19999999999999"/>
        <n v="494.19999999999993"/>
        <n v="32.200000000000003"/>
        <n v="55.8"/>
        <n v="47.1"/>
        <n v="170"/>
        <n v="178"/>
        <n v="304.5"/>
        <n v="579.5"/>
        <n v="215.4"/>
        <n v="1484.6000000000001"/>
        <n v="1117"/>
        <n v="310.09999999999997"/>
        <n v="766.4"/>
        <n v="158.20000000000002"/>
        <n v="204.8"/>
        <n v="868.8"/>
        <n v="666.9"/>
        <n v="31.2"/>
        <n v="90.9"/>
        <n v="60.6"/>
        <n v="159"/>
        <n v="1078.2"/>
        <n v="91.4"/>
        <n v="184.4"/>
        <n v="52.5"/>
        <n v="109.5"/>
        <n v="95"/>
        <n v="228"/>
        <n v="998"/>
        <n v="67.800000000000011"/>
        <n v="1903.5"/>
        <n v="200.6"/>
        <n v="442.8"/>
        <n v="94.6"/>
        <n v="285.59999999999997"/>
        <n v="393.6"/>
        <n v="28.5"/>
        <n v="73.599999999999994"/>
        <n v="100.5"/>
        <n v="375"/>
        <n v="1916"/>
        <n v="557.40000000000009"/>
        <n v="132.30000000000001"/>
        <n v="11.4"/>
        <n v="83.7"/>
        <n v="46.4"/>
        <n v="162.1"/>
        <n v="196.8"/>
        <n v="531"/>
        <n v="44.8"/>
        <n v="376.5"/>
        <n v="42.6"/>
        <n v="245"/>
        <n v="93.9"/>
        <n v="170.8"/>
        <n v="160"/>
        <n v="77"/>
        <n v="115.6"/>
        <n v="19.2"/>
        <n v="688.8"/>
        <n v="338.8"/>
        <n v="366"/>
        <n v="97.2"/>
        <n v="292.20000000000005"/>
        <n v="64.400000000000006"/>
        <n v="206.4"/>
        <n v="189.6"/>
        <n v="1420"/>
        <n v="292.8"/>
        <n v="50.400000000000006"/>
        <n v="393.79999999999995"/>
        <n v="64.900000000000006"/>
        <n v="207"/>
        <n v="82.4"/>
        <n v="37.799999999999997"/>
        <n v="85.2"/>
        <n v="152"/>
        <n v="55.4"/>
        <n v="249.60000000000002"/>
        <n v="145.4"/>
        <n v="42.4"/>
        <n v="83"/>
        <n v="530.1"/>
        <n v="57.1"/>
        <n v="57.2"/>
        <n v="70.2"/>
        <n v="52.1"/>
        <n v="179.39999999999998"/>
        <n v="333.2"/>
        <n v="495.59999999999997"/>
        <n v="80"/>
        <n v="41.6"/>
        <n v="758.80000000000007"/>
        <n v="77.8"/>
        <n v="21.6"/>
        <n v="629.19999999999993"/>
        <n v="87.6"/>
        <n v="50.2"/>
        <n v="196.79999999999998"/>
        <n v="114.6"/>
        <n v="411.3"/>
        <n v="1628"/>
        <n v="78.400000000000006"/>
        <n v="1065.9000000000001"/>
        <n v="120.2"/>
        <n v="45.8"/>
        <n v="75.2"/>
        <n v="39.200000000000003"/>
        <n v="90.5"/>
        <n v="372.9"/>
        <n v="65.599999999999994"/>
        <n v="49.9"/>
        <n v="396"/>
        <n v="312"/>
        <n v="72"/>
        <n v="41.2"/>
        <n v="1672"/>
        <n v="2235"/>
        <n v="157.19999999999999"/>
        <n v="68.5"/>
        <n v="67.5"/>
        <n v="48"/>
        <n v="65.699999999999989"/>
        <n v="454.30000000000007"/>
        <n v="52.9"/>
        <n v="76.5"/>
        <n v="155.69999999999999"/>
        <n v="46.3"/>
        <n v="136.4"/>
        <n v="40.299999999999997"/>
        <n v="35.700000000000003"/>
        <n v="127"/>
        <n v="54.2"/>
        <n v="164.2"/>
        <n v="214.5"/>
        <n v="416.9"/>
        <n v="22.4"/>
        <n v="1038.7"/>
        <n v="70.599999999999994"/>
        <n v="49.5"/>
        <n v="193.2"/>
        <n v="101.7"/>
        <n v="134.5"/>
        <n v="844"/>
        <n v="84.4"/>
        <n v="26.6"/>
        <n v="53"/>
        <n v="258.8"/>
        <n v="289.3"/>
        <n v="47.8"/>
        <n v="128.39999999999998"/>
        <n v="234"/>
        <n v="641"/>
        <n v="89.1"/>
        <n v="249.29999999999998"/>
        <n v="122.69999999999999"/>
        <n v="251.4"/>
        <n v="61.8"/>
        <n v="36.6"/>
        <n v="113"/>
        <n v="209.29999999999998"/>
        <n v="85.8"/>
        <n v="1065.5999999999999"/>
        <n v="281.2"/>
        <n v="124"/>
        <n v="489.59999999999997"/>
        <n v="1457.5"/>
        <n v="80.2"/>
        <n v="117.60000000000001"/>
        <n v="30.8"/>
        <n v="505.6"/>
        <n v="214.20000000000002"/>
        <n v="524"/>
        <n v="150.80000000000001"/>
        <n v="1482.4"/>
        <n v="69.2"/>
        <n v="116.4"/>
        <n v="532"/>
        <n v="306.60000000000002"/>
        <n v="105.4"/>
        <n v="57.7"/>
        <n v="125"/>
        <n v="55.800000000000004"/>
        <n v="58.8"/>
        <n v="44.2"/>
        <n v="114.9"/>
        <n v="379"/>
        <n v="103"/>
        <n v="203.70000000000002"/>
        <n v="50.6"/>
        <n v="110.5"/>
        <n v="128.69999999999999"/>
        <n v="686.4"/>
        <n v="327.59999999999997"/>
        <n v="45"/>
        <n v="283.2"/>
        <n v="283"/>
        <n v="95.8"/>
        <n v="627.20000000000005"/>
        <n v="1709.3999999999999"/>
        <n v="167.4"/>
        <n v="391.6"/>
        <n v="15"/>
        <n v="283.79999999999995"/>
        <n v="118.19999999999999"/>
        <n v="46.7"/>
        <n v="172"/>
        <n v="243"/>
        <n v="173.6"/>
        <n v="246.4"/>
        <n v="146.10000000000002"/>
        <n v="261.39999999999998"/>
        <n v="26"/>
        <n v="472"/>
        <n v="448.79999999999995"/>
        <n v="1987.2"/>
        <n v="513.9"/>
        <n v="167.29999999999998"/>
        <n v="34.1"/>
        <n v="154"/>
        <n v="210"/>
        <n v="74.400000000000006"/>
        <n v="75"/>
        <n v="169.9"/>
        <n v="144.4"/>
        <n v="20"/>
        <n v="232"/>
        <n v="86.2"/>
        <n v="672.30000000000007"/>
        <n v="128.19999999999999"/>
        <n v="106.8"/>
        <n v="189"/>
        <n v="452.90000000000003"/>
        <n v="111.2"/>
        <n v="72.400000000000006"/>
        <n v="126"/>
        <n v="144.30000000000001"/>
        <n v="86.8"/>
        <n v="31.8"/>
        <n v="126.4"/>
        <n v="259.2"/>
        <n v="54.4"/>
        <n v="87.3"/>
        <n v="129.6"/>
        <n v="177.4"/>
        <n v="140.19999999999999"/>
        <n v="399.5"/>
        <n v="57.6"/>
        <n v="597"/>
        <n v="150"/>
        <n v="138.4"/>
        <n v="87.2"/>
        <n v="122.2"/>
        <n v="223.2"/>
        <n v="99.2"/>
        <n v="359.70000000000005"/>
        <n v="90"/>
        <n v="102.2"/>
        <n v="97.5"/>
        <n v="78.099999999999994"/>
        <n v="661.2"/>
        <n v="258.89999999999998"/>
        <n v="441.59999999999997"/>
        <n v="880.1"/>
        <n v="853.19999999999993"/>
        <n v="412.2"/>
        <n v="48.4"/>
        <n v="434.70000000000005"/>
        <n v="164"/>
        <n v="357"/>
        <n v="109.2"/>
        <n v="71.400000000000006"/>
        <n v="104.8"/>
        <n v="226.79999999999998"/>
        <n v="2011.6"/>
        <n v="1299.6000000000001"/>
        <n v="1101.6000000000001"/>
        <n v="235"/>
        <n v="211.4"/>
        <n v="401.09999999999997"/>
        <n v="585.9"/>
        <n v="18.600000000000001"/>
        <n v="1015.3"/>
        <n v="245.10000000000002"/>
        <n v="81.8"/>
        <n v="283.8"/>
        <n v="145.6"/>
        <n v="59.1"/>
        <n v="1266.5"/>
        <n v="549.20000000000005"/>
        <n v="214.8"/>
        <n v="706.30000000000007"/>
        <n v="83.6"/>
        <n v="355.6"/>
        <n v="62.5"/>
        <n v="140.69999999999999"/>
        <n v="135.60000000000002"/>
        <n v="474.8"/>
        <n v="57.8"/>
        <n v="19.5"/>
        <n v="149.6"/>
        <n v="181.5"/>
        <n v="400.40000000000003"/>
        <n v="224"/>
        <n v="67.400000000000006"/>
        <n v="106.80000000000001"/>
        <n v="1064"/>
        <n v="602.40000000000009"/>
        <n v="87.4"/>
        <n v="33.299999999999997"/>
        <n v="591"/>
        <n v="86.699999999999989"/>
        <n v="166.8"/>
        <n v="66.300000000000011"/>
        <n v="1391.6000000000001"/>
        <n v="399.59999999999997"/>
        <n v="45.2"/>
        <n v="1202.3999999999999"/>
        <n v="83.2"/>
        <n v="717.5"/>
        <n v="446.40000000000003"/>
        <n v="973.4"/>
        <n v="296.5"/>
        <n v="591.59999999999991"/>
        <n v="389.2"/>
        <n v="76.8"/>
        <n v="379.79999999999995"/>
        <n v="46"/>
        <n v="114"/>
        <n v="797"/>
        <n v="244"/>
        <n v="339.5"/>
        <n v="247.2"/>
        <n v="46.1"/>
        <n v="264"/>
        <n v="191.4"/>
        <n v="94.4"/>
        <n v="117.2"/>
        <n v="171"/>
        <n v="303.5"/>
        <n v="304"/>
        <n v="323"/>
        <n v="21.9"/>
        <n v="400.79999999999995"/>
        <n v="51.7"/>
        <n v="339.6"/>
        <n v="685.3"/>
        <n v="39.5"/>
        <n v="92.699999999999989"/>
        <n v="844.8"/>
        <n v="157.80000000000001"/>
        <n v="1632"/>
        <n v="1382"/>
        <n v="90.6"/>
        <n v="230.2"/>
        <n v="316"/>
        <n v="68.2"/>
        <n v="539.5"/>
        <n v="630.5"/>
        <n v="104.10000000000001"/>
        <n v="16.8"/>
        <n v="167.7"/>
        <n v="266"/>
        <n v="312.60000000000002"/>
        <n v="38"/>
        <n v="254.39999999999998"/>
        <n v="255.6"/>
        <n v="196.5"/>
        <n v="232.4"/>
        <n v="91.6"/>
        <n v="161.10000000000002"/>
        <n v="216"/>
        <n v="568.20000000000005"/>
        <n v="167.2"/>
        <n v="201.60000000000002"/>
        <n v="296.39999999999998"/>
        <n v="222"/>
        <n v="175.5"/>
        <n v="592"/>
        <n v="1332"/>
        <n v="129.19999999999999"/>
        <n v="285.89999999999998"/>
        <n v="77.400000000000006"/>
        <n v="23.2"/>
        <n v="52.3"/>
        <n v="1122"/>
        <n v="173"/>
        <n v="225.6"/>
        <n v="497.7"/>
        <n v="2114"/>
        <n v="23.6"/>
        <n v="141.4"/>
        <n v="86.4"/>
        <n v="630"/>
        <n v="41"/>
        <n v="482.40000000000003"/>
        <n v="361.5"/>
        <n v="90.4"/>
        <n v="88.4"/>
        <n v="282.29999999999995"/>
        <n v="53.699999999999996"/>
        <n v="368.90000000000003"/>
        <n v="36.799999999999997"/>
        <n v="267.60000000000002"/>
        <n v="106.4"/>
        <n v="112.19999999999999"/>
        <n v="435.2"/>
        <n v="192.5"/>
        <n v="465"/>
        <n v="20.9"/>
        <n v="107.6"/>
        <n v="73.800000000000011"/>
        <n v="212.70000000000002"/>
        <n v="95.699999999999989"/>
        <n v="40.799999999999997"/>
        <n v="37.200000000000003"/>
        <n v="241.5"/>
        <n v="110.8"/>
        <n v="108"/>
        <n v="184.1"/>
        <n v="721"/>
        <n v="699"/>
        <n v="161"/>
        <n v="66"/>
        <n v="50.4"/>
        <n v="412.20000000000005"/>
        <n v="66.599999999999994"/>
        <n v="252"/>
        <n v="89.8"/>
        <n v="214.79999999999998"/>
        <n v="277.5"/>
        <n v="955.5"/>
        <n v="67.599999999999994"/>
        <n v="229.5"/>
        <n v="127.80000000000001"/>
        <n v="147.30000000000001"/>
        <n v="85.3"/>
        <n v="172.4"/>
        <n v="184.8"/>
        <n v="47.2"/>
        <n v="1101.5999999999999"/>
        <n v="24.7"/>
        <n v="154.70000000000002"/>
        <n v="18.100000000000001"/>
        <n v="117.6"/>
        <n v="61.6"/>
        <n v="24"/>
        <n v="17.899999999999999"/>
        <n v="77.2"/>
        <n v="163.5"/>
        <n v="222.8"/>
        <n v="481.79999999999995"/>
        <n v="117.8"/>
        <n v="150.89999999999998"/>
        <n v="270"/>
        <n v="268.20000000000005"/>
        <n v="495"/>
        <n v="224.5"/>
        <n v="329.7"/>
        <n v="130.5"/>
        <n v="334"/>
        <n v="335.8"/>
        <n v="311.40000000000003"/>
        <n v="105.30000000000001"/>
        <n v="37.9"/>
        <n v="96"/>
        <n v="101.2"/>
        <n v="408.5"/>
        <n v="101.4"/>
        <n v="1278.7"/>
        <n v="1348.6"/>
        <n v="32.9"/>
        <n v="201.6"/>
        <n v="100.4"/>
        <n v="67.2"/>
        <n v="39.299999999999997"/>
        <n v="488"/>
        <n v="582.4"/>
        <n v="369.6"/>
        <n v="2659.2"/>
        <n v="343.2"/>
        <n v="1515.8"/>
        <n v="377.3"/>
        <n v="106.2"/>
        <n v="224.8"/>
        <n v="773"/>
        <n v="751.4"/>
        <n v="631.5"/>
        <n v="205.20000000000002"/>
        <n v="513.29999999999995"/>
        <n v="28"/>
        <n v="351.40000000000003"/>
        <n v="112"/>
        <n v="76.599999999999994"/>
        <n v="111.5"/>
        <n v="66.900000000000006"/>
        <n v="188"/>
        <n v="61.4"/>
        <n v="452.5"/>
        <n v="126.5"/>
        <n v="174.3"/>
        <n v="224.70000000000002"/>
        <n v="65"/>
        <n v="310"/>
        <n v="173.39999999999998"/>
        <n v="342.4"/>
        <n v="315.2"/>
        <n v="199.20000000000002"/>
        <n v="143.6"/>
        <n v="55.1"/>
        <n v="274.3"/>
        <n v="169"/>
        <n v="224.4"/>
        <n v="58.5"/>
        <n v="84.2"/>
        <n v="208"/>
        <n v="157.5"/>
        <n v="810"/>
        <n v="276.60000000000002"/>
        <n v="396.90000000000003"/>
        <n v="297.7"/>
        <n v="1018.4"/>
        <n v="500.40000000000003"/>
        <n v="372.29999999999995"/>
        <n v="946.39999999999986"/>
        <n v="353.4"/>
        <n v="162"/>
        <n v="445"/>
        <n v="282"/>
        <n v="110.4"/>
        <n v="1398.6"/>
        <n v="443.6"/>
        <n v="403.79999999999995"/>
        <n v="209.10000000000002"/>
        <n v="39.1"/>
        <n v="625.79999999999995"/>
        <n v="83.4"/>
        <n v="147"/>
        <n v="132.5"/>
        <n v="30.3"/>
        <n v="476.40000000000003"/>
        <n v="589"/>
        <n v="348.2"/>
        <n v="141.6"/>
        <n v="57"/>
        <n v="2132"/>
        <n v="359.1"/>
        <n v="73.3"/>
        <n v="51.6"/>
        <n v="44.9"/>
        <n v="108.6"/>
        <n v="33"/>
        <n v="481.20000000000005"/>
        <n v="392"/>
        <n v="417.6"/>
        <n v="32.799999999999997"/>
        <n v="44"/>
        <n v="258"/>
        <n v="544"/>
        <n v="263.7"/>
        <n v="122.7"/>
        <n v="160.29999999999998"/>
        <n v="255"/>
        <n v="70.199999999999989"/>
        <n v="342"/>
        <n v="51.9"/>
        <n v="132"/>
        <n v="148.80000000000001"/>
        <n v="61.800000000000004"/>
        <n v="197.2"/>
        <n v="48.2"/>
        <n v="261.60000000000002"/>
        <n v="223.20000000000002"/>
        <n v="45.6"/>
        <n v="156.80000000000001"/>
        <n v="51.8"/>
        <n v="74.7"/>
        <n v="67.199999999999989"/>
        <n v="125.6"/>
        <n v="22.3"/>
        <n v="81"/>
        <n v="598.4"/>
        <n v="516.4"/>
        <n v="484.79999999999995"/>
        <n v="145.5"/>
        <n v="92.5"/>
        <n v="189.4"/>
        <n v="232.79999999999998"/>
        <n v="204"/>
        <n v="445.90000000000003"/>
        <n v="132.4"/>
        <n v="96.899999999999991"/>
        <n v="133.80000000000001"/>
        <n v="302.39999999999998"/>
        <n v="177"/>
        <n v="230"/>
        <n v="218.6"/>
        <n v="133.19999999999999"/>
        <n v="238.5"/>
        <n v="92"/>
        <n v="235.79999999999998"/>
        <n v="286"/>
        <n v="217"/>
        <n v="341"/>
        <n v="1129"/>
        <n v="303.3"/>
        <n v="353"/>
        <n v="136.80000000000001"/>
        <n v="319.39999999999998"/>
        <n v="76"/>
        <n v="546.59999999999991"/>
        <n v="470.5"/>
        <n v="189.9"/>
        <n v="107.10000000000001"/>
        <n v="77.099999999999994"/>
        <n v="284.40000000000003"/>
        <n v="64.2"/>
        <n v="111.6"/>
        <n v="56.2"/>
        <n v="289.79999999999995"/>
        <n v="225.40000000000003"/>
        <n v="1358"/>
        <n v="318.29999999999995"/>
        <n v="70.5"/>
        <n v="71.2"/>
        <n v="580.30000000000007"/>
        <n v="321.29999999999995"/>
        <n v="62.7"/>
        <n v="242.39999999999998"/>
        <n v="357.6"/>
        <n v="765.59999999999991"/>
        <n v="178.8"/>
        <n v="15.9"/>
        <n v="157.4"/>
        <n v="355.20000000000005"/>
        <n v="86"/>
        <n v="1288.5999999999999"/>
        <n v="169.8"/>
        <n v="1098.5"/>
        <n v="527"/>
        <n v="275.8"/>
        <n v="62.3"/>
        <n v="245.5"/>
        <n v="974.59999999999991"/>
        <n v="99.4"/>
        <n v="29"/>
        <n v="60.7"/>
        <n v="349.6"/>
        <n v="311.5"/>
        <n v="141"/>
        <n v="50.099999999999994"/>
        <n v="155"/>
        <n v="326"/>
        <n v="192.6"/>
        <n v="68.599999999999994"/>
        <n v="241"/>
        <n v="51.4"/>
        <n v="586"/>
        <n v="88.2"/>
        <n v="134.4"/>
        <n v="105.2"/>
        <n v="479.5"/>
        <n v="404.70000000000005"/>
        <n v="303"/>
        <n v="87"/>
        <n v="374.2"/>
        <n v="221.6"/>
        <n v="469.3"/>
        <n v="24.1"/>
        <n v="91.5"/>
        <n v="409.79999999999995"/>
        <n v="129.89999999999998"/>
        <n v="108.4"/>
        <n v="102"/>
        <n v="46.2"/>
        <n v="612.5"/>
        <n v="153"/>
        <n v="212"/>
        <n v="440.6"/>
        <n v="137.10000000000002"/>
        <n v="235.5"/>
        <n v="978"/>
        <n v="127.19999999999999"/>
        <n v="745"/>
        <n v="284.39999999999998"/>
        <n v="51.900000000000006"/>
        <n v="311.60000000000002"/>
        <n v="29.1"/>
        <n v="126.60000000000001"/>
        <n v="701.1"/>
        <n v="926"/>
        <n v="164.39999999999998"/>
        <n v="681.59999999999991"/>
        <n v="1557.6000000000001"/>
        <n v="270.60000000000002"/>
        <n v="22"/>
        <n v="61.5"/>
        <n v="190.4"/>
        <n v="121.9"/>
        <n v="895.19999999999993"/>
        <n v="54.1"/>
        <n v="54.8"/>
        <n v="395.2"/>
        <n v="628.79999999999995"/>
        <n v="134.80000000000001"/>
        <n v="215.5"/>
        <n v="161.4"/>
        <n v="144.20000000000002"/>
        <n v="111.30000000000001"/>
        <n v="118"/>
        <n v="64.599999999999994"/>
        <n v="59.2"/>
        <n v="81.2"/>
        <n v="26.2"/>
        <n v="1320"/>
        <n v="262.39999999999998"/>
        <n v="391.20000000000005"/>
        <n v="1824.9"/>
        <n v="54.5"/>
        <n v="344.5"/>
        <n v="124.8"/>
        <n v="488.40000000000003"/>
        <n v="49.6"/>
        <n v="2996.9999999999995"/>
        <n v="79.199999999999989"/>
        <n v="34.4"/>
        <n v="464.8"/>
        <n v="27.1"/>
        <n v="40.5"/>
        <n v="233.70000000000002"/>
        <n v="148.4"/>
        <n v="154.80000000000001"/>
        <n v="294"/>
        <n v="289.8"/>
        <n v="272"/>
        <n v="66.3"/>
        <n v="287.70000000000005"/>
        <n v="156.19999999999999"/>
        <n v="113.6"/>
        <n v="163.4"/>
        <n v="113.4"/>
        <n v="210.6"/>
        <n v="190.2"/>
        <n v="345.2"/>
        <n v="80.099999999999994"/>
        <n v="136.19999999999999"/>
        <n v="81.7"/>
        <n v="251"/>
        <n v="20.2"/>
        <n v="624"/>
        <n v="38.4"/>
        <n v="292.59999999999997"/>
        <n v="224.39999999999998"/>
        <n v="180.60000000000002"/>
        <n v="183"/>
        <n v="278.5"/>
        <n v="153.4"/>
        <n v="592.19999999999993"/>
        <n v="466"/>
        <n v="78.2"/>
        <n v="543.59999999999991"/>
        <n v="237.29999999999998"/>
        <n v="41.9"/>
        <n v="92.4"/>
        <n v="340.8"/>
        <n v="70"/>
        <n v="88"/>
        <n v="222.29999999999998"/>
        <n v="161.9"/>
        <n v="32.1"/>
        <n v="419.2"/>
        <n v="404.40000000000003"/>
        <n v="230.4"/>
        <n v="730.40000000000009"/>
        <n v="817.19999999999993"/>
        <n v="162.5"/>
        <n v="183.60000000000002"/>
        <n v="229.6"/>
        <n v="229.20000000000002"/>
        <n v="211.20000000000002"/>
        <n v="223.79999999999998"/>
        <n v="1089"/>
        <n v="101.39999999999999"/>
        <n v="85.7"/>
        <n v="184.2"/>
        <n v="195.29999999999998"/>
        <n v="142.1"/>
        <n v="59.6"/>
        <n v="57.3"/>
        <n v="108.9"/>
        <n v="594.9"/>
        <n v="183.5"/>
        <n v="328.1"/>
        <n v="82.8"/>
        <n v="164.10000000000002"/>
        <n v="41.1"/>
        <n v="348"/>
        <n v="205.6"/>
        <n v="79.599999999999994"/>
        <n v="305"/>
        <n v="166.1"/>
        <n v="499.09999999999997"/>
        <n v="25.8"/>
        <n v="198"/>
        <n v="128"/>
        <n v="1457.6"/>
        <n v="43.6"/>
        <n v="92.6"/>
        <n v="62.2"/>
        <n v="321.3"/>
        <n v="219.6"/>
        <n v="18.2"/>
        <n v="59.7"/>
        <n v="210.89999999999998"/>
        <n v="413.6"/>
        <n v="246"/>
        <n v="87.9"/>
        <n v="251.8"/>
        <n v="146.5"/>
        <n v="126.8"/>
        <n v="131.5"/>
        <n v="199"/>
        <n v="412.5"/>
        <n v="45.1"/>
        <n v="344"/>
        <n v="453.59999999999997"/>
        <n v="533.4"/>
        <n v="85.6"/>
        <n v="100"/>
        <n v="753.5"/>
        <n v="19.600000000000001"/>
        <n v="63.599999999999994"/>
        <n v="297.5"/>
        <n v="34"/>
        <n v="103.2"/>
        <n v="147.6"/>
        <n v="812.40000000000009"/>
        <n v="306.59999999999997"/>
        <n v="431.40000000000003"/>
        <n v="52.6"/>
        <n v="32.700000000000003"/>
        <n v="155.6"/>
        <n v="242"/>
        <n v="1339.8"/>
        <n v="77.7"/>
        <n v="241.2"/>
        <n v="248.2"/>
        <n v="462"/>
        <n v="7446.6"/>
        <n v="321.5"/>
        <n v="109.6"/>
        <n v="792.5"/>
        <n v="287.60000000000002"/>
        <n v="59"/>
        <n v="167.6"/>
        <n v="323.39999999999998"/>
        <n v="718.19999999999993"/>
        <n v="22.9"/>
        <n v="48.599999999999994"/>
        <n v="238"/>
        <n v="131"/>
        <n v="118.4"/>
        <n v="166"/>
        <n v="805.19999999999993"/>
        <n v="57.4"/>
        <n v="528.4"/>
        <n v="657.4"/>
        <n v="166.5"/>
        <n v="800.40000000000009"/>
        <n v="378.90000000000003"/>
        <n v="410.90000000000003"/>
        <n v="54"/>
        <n v="93.4"/>
        <n v="144.69999999999999"/>
        <n v="818.1"/>
        <n v="289.5"/>
        <n v="132.60000000000002"/>
        <n v="267.5"/>
        <n v="249.6"/>
        <n v="123.5"/>
        <n v="308.5"/>
        <n v="91"/>
        <n v="160.5"/>
        <n v="130.80000000000001"/>
        <n v="1350"/>
        <n v="84.6"/>
        <n v="181"/>
        <n v="63.900000000000006"/>
        <n v="36.299999999999997"/>
        <n v="331.5"/>
        <n v="228.20000000000002"/>
        <n v="626.40000000000009"/>
        <n v="57.300000000000004"/>
        <n v="218.2"/>
        <n v="42.2"/>
        <n v="170.4"/>
        <n v="72.900000000000006"/>
        <n v="43.3"/>
        <n v="123"/>
        <n v="162.30000000000001"/>
        <n v="72.300000000000011"/>
        <n v="261.5"/>
        <n v="275.2"/>
        <n v="257.60000000000002"/>
        <n v="48.3"/>
        <n v="136.5"/>
        <n v="1377"/>
        <n v="122.39999999999999"/>
        <n v="60.8"/>
        <n v="143"/>
        <n v="501.6"/>
        <n v="99.5"/>
        <n v="468.90000000000003"/>
        <n v="1159"/>
        <n v="774"/>
        <n v="515.19999999999993"/>
        <n v="326.2"/>
        <n v="253.79999999999998"/>
        <n v="581"/>
        <n v="326.90000000000003"/>
        <n v="53.7"/>
        <n v="247.8"/>
        <n v="107.69999999999999"/>
        <n v="1599.5"/>
        <n v="1301.3"/>
        <n v="74.2"/>
        <n v="606.4"/>
        <n v="243.2"/>
        <n v="267.40000000000003"/>
        <n v="462.8"/>
        <n v="596.40000000000009"/>
        <n v="38.700000000000003"/>
        <n v="71"/>
        <n v="373.2"/>
        <n v="31.4"/>
        <n v="85.9"/>
        <n v="72.599999999999994"/>
        <n v="100.19999999999999"/>
        <n v="195.60000000000002"/>
        <n v="589.5"/>
        <n v="158.39999999999998"/>
        <n v="153.60000000000002"/>
        <n v="84.9"/>
        <n v="126.89999999999999"/>
        <n v="1306.4000000000001"/>
        <n v="331.09999999999997"/>
        <n v="436.8"/>
        <n v="209.39999999999998"/>
        <n v="174.4"/>
        <n v="878.5"/>
        <n v="498.4"/>
        <n v="279.3"/>
        <n v="299.2"/>
        <n v="52.2"/>
        <n v="193"/>
        <n v="159.6"/>
        <n v="165.89999999999998"/>
        <n v="731.5"/>
        <n v="306.39999999999998"/>
        <n v="191.39999999999998"/>
        <n v="21.4"/>
        <n v="176.4"/>
        <n v="460.8"/>
        <n v="40.6"/>
        <n v="423.6"/>
        <n v="336.59999999999997"/>
        <n v="158"/>
        <n v="57.900000000000006"/>
        <n v="356.5"/>
        <n v="332.4"/>
        <n v="231"/>
        <n v="86.1"/>
        <n v="577"/>
        <n v="706"/>
        <n v="146.69999999999999"/>
        <n v="54.300000000000004"/>
        <n v="237"/>
        <n v="413.7"/>
        <n v="137.6"/>
        <n v="292.5"/>
        <n v="798"/>
        <n v="266.39999999999998"/>
        <n v="257.5"/>
        <n v="190.8"/>
        <n v="368"/>
        <n v="638.4"/>
        <n v="289.60000000000002"/>
        <n v="784"/>
        <n v="348.8"/>
        <n v="378"/>
        <n v="566.1"/>
        <n v="511"/>
        <n v="295.79999999999995"/>
        <n v="338.4"/>
        <n v="344.8"/>
        <n v="154.6"/>
        <n v="189.60000000000002"/>
        <n v="913.1"/>
        <n v="137.39999999999998"/>
        <n v="152.39999999999998"/>
        <n v="103.8"/>
        <n v="186.8"/>
        <n v="143.19999999999999"/>
        <n v="444.4"/>
        <n v="2498.5"/>
        <n v="64.3"/>
        <n v="174.60000000000002"/>
        <n v="236.8"/>
        <n v="296"/>
        <n v="1050.3999999999999"/>
        <n v="154.19999999999999"/>
        <n v="40.4"/>
        <n v="145.19999999999999"/>
        <n v="119.39999999999999"/>
        <n v="128.80000000000001"/>
        <n v="230.39999999999998"/>
        <n v="83.8"/>
        <n v="429.09999999999997"/>
        <n v="54.7"/>
        <n v="847"/>
        <n v="280.20000000000005"/>
        <n v="144"/>
        <n v="135.80000000000001"/>
        <n v="233.09999999999997"/>
        <n v="113.39999999999999"/>
        <n v="537.70000000000005"/>
        <n v="125.2"/>
        <n v="208.5"/>
        <n v="33.4"/>
        <n v="310.8"/>
        <n v="142.4"/>
        <n v="285"/>
        <n v="688.4"/>
        <n v="43.5"/>
        <n v="131.6"/>
        <n v="425.70000000000005"/>
        <n v="7264.5"/>
        <n v="15.5"/>
        <n v="140.80000000000001"/>
        <n v="207.60000000000002"/>
        <n v="21.3"/>
        <n v="273"/>
        <n v="214.9"/>
        <n v="123.2"/>
        <n v="217.2"/>
        <n v="174"/>
        <n v="144.60000000000002"/>
        <n v="13.7"/>
        <n v="221"/>
        <n v="1407"/>
        <n v="270.2"/>
        <n v="2101"/>
        <n v="25.5"/>
        <n v="486"/>
        <n v="80.8"/>
        <n v="299.5"/>
        <n v="165"/>
        <n v="543.9"/>
        <n v="46.6"/>
        <n v="62.099999999999994"/>
        <n v="114.60000000000001"/>
        <n v="1390"/>
        <n v="192.4"/>
        <n v="181.2"/>
        <n v="741.6"/>
        <n v="103.7"/>
        <n v="31.5"/>
        <n v="44.7"/>
        <n v="139.6"/>
        <n v="186.89999999999998"/>
        <n v="99.600000000000009"/>
        <n v="298"/>
        <n v="823.19999999999993"/>
        <n v="509.59999999999997"/>
        <n v="338"/>
        <n v="372.6"/>
        <n v="41.8"/>
        <n v="114.4"/>
        <n v="94.2"/>
        <n v="259.20000000000005"/>
        <n v="525"/>
        <n v="533"/>
        <n v="857.6"/>
        <n v="651"/>
        <n v="194.6"/>
        <n v="49.8"/>
        <n v="163"/>
        <n v="67.3"/>
        <n v="1222.0999999999999"/>
        <n v="59.099999999999994"/>
        <n v="217.6"/>
        <n v="314.10000000000002"/>
        <n v="65.5"/>
        <n v="12.5"/>
        <n v="111.4"/>
        <n v="115.4"/>
        <n v="514.20000000000005"/>
        <n v="260.70000000000005"/>
        <n v="92.8"/>
        <n v="76.199999999999989"/>
        <n v="143.39999999999998"/>
        <n v="349.59999999999997"/>
        <n v="345"/>
        <n v="18.7"/>
        <n v="30.1"/>
        <n v="16.3"/>
        <n v="517.30000000000007"/>
        <n v="324.5"/>
        <n v="265.3"/>
        <n v="56.5"/>
        <n v="259.5"/>
        <n v="20.6"/>
        <n v="149.10000000000002"/>
        <n v="480"/>
        <n v="693"/>
        <n v="502.79999999999995"/>
        <n v="309.2"/>
        <n v="153.80000000000001"/>
        <n v="548.6"/>
        <n v="304.39999999999998"/>
        <n v="1728"/>
        <n v="1630.7"/>
        <n v="107.4"/>
        <n v="171.6"/>
        <n v="752.5"/>
        <n v="426.5"/>
        <n v="404"/>
        <n v="369.29999999999995"/>
        <n v="73.8"/>
        <n v="82"/>
        <n v="200.4"/>
        <n v="35.9"/>
        <n v="360"/>
        <n v="171.89999999999998"/>
        <n v="81.400000000000006"/>
        <n v="73.400000000000006"/>
        <n v="176.39999999999998"/>
        <n v="292.79999999999995"/>
        <n v="117.4"/>
        <n v="359.5"/>
        <n v="860.8"/>
        <n v="160.80000000000001"/>
        <n v="168.6"/>
        <n v="1061.1000000000001"/>
        <n v="240"/>
        <n v="111.89999999999999"/>
        <n v="225.9"/>
        <n v="604.80000000000007"/>
        <n v="165.2"/>
        <n v="30.6"/>
        <n v="54.6"/>
        <n v="340.4"/>
        <n v="228.90000000000003"/>
        <n v="302.10000000000002"/>
        <n v="98.6"/>
        <n v="582"/>
        <n v="134.19999999999999"/>
        <n v="271.59999999999997"/>
        <n v="212.8"/>
        <n v="1057"/>
        <n v="70.400000000000006"/>
        <n v="455.40000000000003"/>
        <n v="236.10000000000002"/>
        <n v="429.8"/>
        <n v="35"/>
        <n v="75.900000000000006"/>
        <n v="126.30000000000001"/>
        <n v="362"/>
        <n v="53.2"/>
        <n v="2464"/>
        <n v="52.4"/>
        <n v="363"/>
        <n v="23.4"/>
        <n v="452.8"/>
        <n v="53.6"/>
        <n v="33.900000000000006"/>
        <n v="180.3"/>
        <n v="304.7"/>
        <n v="133.4"/>
        <n v="195.5"/>
        <n v="99.6"/>
        <n v="146"/>
        <n v="396.2"/>
        <n v="196.70000000000002"/>
        <n v="179.10000000000002"/>
        <n v="71.900000000000006"/>
        <n v="113.8"/>
        <n v="246.8"/>
        <n v="1052"/>
        <n v="252.29999999999998"/>
        <n v="115"/>
        <n v="34.299999999999997"/>
        <n v="55.6"/>
        <n v="190"/>
        <n v="130.4"/>
        <n v="345.9"/>
        <n v="1250.0999999999999"/>
        <n v="252.60000000000002"/>
        <n v="401.8"/>
        <n v="156.89999999999998"/>
        <n v="79.800000000000011"/>
        <n v="383.2"/>
        <n v="303.09999999999997"/>
        <n v="322.40000000000003"/>
        <n v="771.30000000000007"/>
        <n v="832"/>
        <n v="471"/>
        <n v="182.39999999999998"/>
        <n v="134.39999999999998"/>
        <n v="77.599999999999994"/>
        <n v="1216.6000000000001"/>
        <n v="18.3"/>
        <n v="47.5"/>
        <n v="349.2"/>
        <n v="168.5"/>
        <n v="322.20000000000005"/>
        <n v="88.8"/>
        <n v="828"/>
        <n v="355.2"/>
        <n v="78.599999999999994"/>
        <n v="17.399999999999999"/>
        <n v="433.79999999999995"/>
        <n v="267.3"/>
        <n v="2347"/>
        <n v="380.5"/>
        <n v="281.70000000000005"/>
        <n v="748"/>
        <n v="24.4"/>
        <n v="337.6"/>
        <n v="153.19999999999999"/>
        <n v="174.6"/>
        <n v="63"/>
        <n v="152.19999999999999"/>
        <n v="117"/>
        <n v="78.5"/>
        <n v="248.5"/>
        <n v="273.60000000000002"/>
        <n v="145.80000000000001"/>
        <n v="393.90000000000003"/>
        <n v="636.9"/>
        <n v="96.7"/>
        <n v="331.20000000000005"/>
        <n v="7420"/>
        <n v="384"/>
        <n v="276.39999999999998"/>
        <n v="152.80000000000001"/>
        <n v="58"/>
        <n v="818.4"/>
        <n v="27.6"/>
        <n v="99.899999999999991"/>
        <n v="27.4"/>
        <n v="56.8"/>
        <n v="136"/>
        <n v="30.7"/>
        <n v="670.80000000000007"/>
        <n v="24.8"/>
        <n v="78.399999999999991"/>
        <n v="543"/>
        <n v="84.8"/>
        <n v="76.400000000000006"/>
        <n v="1091.7"/>
        <n v="93.8"/>
        <n v="211.79999999999998"/>
        <n v="104.4"/>
        <n v="379.5"/>
        <n v="582.79999999999995"/>
        <n v="157"/>
        <n v="34.200000000000003"/>
        <n v="35.4"/>
        <n v="1282.5"/>
        <n v="824.19999999999993"/>
        <n v="156.6"/>
        <n v="43.9"/>
        <n v="380"/>
        <n v="555.5"/>
        <n v="70.8"/>
        <n v="412"/>
        <n v="636"/>
        <n v="41.3"/>
        <n v="35.299999999999997"/>
        <n v="173.5"/>
        <n v="78.300000000000011"/>
        <n v="308.8"/>
        <n v="25"/>
        <n v="633.59999999999991"/>
        <n v="476.8"/>
        <n v="226.20000000000002"/>
        <n v="2082"/>
        <n v="283.20000000000005"/>
        <n v="29.6"/>
        <n v="250.6"/>
        <n v="33.799999999999997"/>
        <n v="101.69999999999999"/>
        <n v="1099.5"/>
        <n v="140"/>
        <n v="32.4"/>
        <n v="265.20000000000005"/>
        <n v="228.60000000000002"/>
        <n v="80.699999999999989"/>
        <n v="352.79999999999995"/>
        <n v="729.2"/>
        <n v="785"/>
        <n v="170.5"/>
        <n v="52"/>
        <n v="135.79999999999998"/>
        <n v="304.20000000000005"/>
        <n v="23.1"/>
        <n v="1046.7"/>
        <n v="576.9"/>
        <n v="655.20000000000005"/>
        <n v="116"/>
        <n v="487.20000000000005"/>
        <n v="499.80000000000007"/>
        <n v="89"/>
        <n v="25.7"/>
        <n v="208.4"/>
        <n v="31"/>
        <n v="233.2"/>
        <n v="93"/>
        <n v="141.89999999999998"/>
        <n v="18.5"/>
        <n v="120.8"/>
        <n v="401"/>
        <n v="41.5"/>
        <n v="167.8"/>
        <n v="68.400000000000006"/>
        <n v="215.8"/>
        <n v="670.5"/>
        <n v="556.20000000000005"/>
        <n v="146.39999999999998"/>
        <n v="641.29999999999995"/>
        <n v="3509.7999999999997"/>
        <n v="76.900000000000006"/>
        <n v="216.60000000000002"/>
        <n v="240.79999999999998"/>
        <n v="1495.2"/>
        <n v="215.10000000000002"/>
        <n v="241.79999999999998"/>
        <n v="1050"/>
        <n v="163.80000000000001"/>
        <n v="526.4"/>
        <n v="137.4"/>
        <n v="362.59999999999997"/>
        <n v="38.799999999999997"/>
        <n v="156.30000000000001"/>
        <n v="74.900000000000006"/>
        <n v="347.2"/>
        <n v="331.2"/>
        <n v="117.5"/>
        <n v="60.300000000000004"/>
        <n v="768"/>
        <n v="64.7"/>
        <n v="483.2"/>
        <n v="459.90000000000003"/>
        <n v="295.2"/>
        <n v="658.69999999999993"/>
        <n v="36.9"/>
        <n v="381.6"/>
        <n v="314.39999999999998"/>
        <n v="786.5"/>
        <n v="485.6"/>
        <n v="159.5"/>
        <n v="79"/>
        <n v="876.30000000000007"/>
        <n v="148.5"/>
        <n v="263.2"/>
        <n v="313.60000000000002"/>
        <n v="414.4"/>
        <n v="97.199999999999989"/>
        <n v="53.8"/>
        <n v="164.8"/>
        <n v="235.6"/>
        <n v="146.80000000000001"/>
        <n v="140.39999999999998"/>
        <n v="168.4"/>
      </sharedItems>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5086325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x v="0"/>
    <x v="0"/>
    <d v="2025-01-06T00:00:00"/>
    <x v="0"/>
    <x v="0"/>
    <x v="0"/>
    <x v="0"/>
    <x v="0"/>
    <x v="0"/>
    <x v="0"/>
    <x v="0"/>
  </r>
  <r>
    <s v="TX500002"/>
    <x v="1"/>
    <x v="1"/>
    <n v="30.6"/>
    <x v="1"/>
    <x v="0"/>
    <d v="2025-01-03T00:00:00"/>
    <x v="1"/>
    <x v="0"/>
    <x v="0"/>
    <x v="0"/>
    <x v="1"/>
    <x v="1"/>
    <x v="0"/>
    <x v="1"/>
  </r>
  <r>
    <s v="TX500003"/>
    <x v="2"/>
    <x v="2"/>
    <n v="109.4"/>
    <x v="2"/>
    <x v="0"/>
    <d v="2025-01-04T00:00:00"/>
    <x v="2"/>
    <x v="0"/>
    <x v="1"/>
    <x v="0"/>
    <x v="2"/>
    <x v="2"/>
    <x v="0"/>
    <x v="2"/>
  </r>
  <r>
    <s v="TX500004"/>
    <x v="3"/>
    <x v="3"/>
    <n v="37.700000000000003"/>
    <x v="3"/>
    <x v="0"/>
    <d v="2025-01-02T00:00:00"/>
    <x v="2"/>
    <x v="0"/>
    <x v="0"/>
    <x v="0"/>
    <x v="2"/>
    <x v="3"/>
    <x v="0"/>
    <x v="2"/>
  </r>
  <r>
    <s v="TX500005"/>
    <x v="4"/>
    <x v="2"/>
    <n v="56.7"/>
    <x v="4"/>
    <x v="0"/>
    <d v="2025-01-04T00:00:00"/>
    <x v="2"/>
    <x v="0"/>
    <x v="2"/>
    <x v="0"/>
    <x v="3"/>
    <x v="2"/>
    <x v="0"/>
    <x v="2"/>
  </r>
  <r>
    <s v="TX500006"/>
    <x v="1"/>
    <x v="4"/>
    <n v="83.5"/>
    <x v="5"/>
    <x v="0"/>
    <d v="2025-01-04T00:00:00"/>
    <x v="1"/>
    <x v="1"/>
    <x v="0"/>
    <x v="0"/>
    <x v="3"/>
    <x v="2"/>
    <x v="0"/>
    <x v="1"/>
  </r>
  <r>
    <s v="TX500007"/>
    <x v="5"/>
    <x v="0"/>
    <n v="55.3"/>
    <x v="6"/>
    <x v="0"/>
    <d v="2025-01-02T00:00:00"/>
    <x v="2"/>
    <x v="0"/>
    <x v="0"/>
    <x v="0"/>
    <x v="3"/>
    <x v="3"/>
    <x v="0"/>
    <x v="2"/>
  </r>
  <r>
    <s v="TX500008"/>
    <x v="6"/>
    <x v="1"/>
    <n v="40.299999999999997"/>
    <x v="7"/>
    <x v="0"/>
    <d v="2025-01-02T00:00:00"/>
    <x v="1"/>
    <x v="2"/>
    <x v="2"/>
    <x v="0"/>
    <x v="3"/>
    <x v="3"/>
    <x v="0"/>
    <x v="1"/>
  </r>
  <r>
    <s v="TX500009"/>
    <x v="7"/>
    <x v="5"/>
    <n v="35.700000000000003"/>
    <x v="8"/>
    <x v="0"/>
    <d v="2025-01-02T00:00:00"/>
    <x v="2"/>
    <x v="0"/>
    <x v="0"/>
    <x v="0"/>
    <x v="3"/>
    <x v="3"/>
    <x v="0"/>
    <x v="2"/>
  </r>
  <r>
    <s v="TX500010"/>
    <x v="8"/>
    <x v="3"/>
    <n v="22.4"/>
    <x v="9"/>
    <x v="0"/>
    <d v="2025-01-04T00:00:00"/>
    <x v="1"/>
    <x v="0"/>
    <x v="1"/>
    <x v="0"/>
    <x v="3"/>
    <x v="2"/>
    <x v="0"/>
    <x v="1"/>
  </r>
  <r>
    <s v="TX500011"/>
    <x v="9"/>
    <x v="1"/>
    <n v="54.4"/>
    <x v="10"/>
    <x v="0"/>
    <d v="2025-01-07T00:00:00"/>
    <x v="2"/>
    <x v="0"/>
    <x v="0"/>
    <x v="0"/>
    <x v="3"/>
    <x v="4"/>
    <x v="0"/>
    <x v="2"/>
  </r>
  <r>
    <s v="TX500012"/>
    <x v="9"/>
    <x v="1"/>
    <n v="49"/>
    <x v="11"/>
    <x v="0"/>
    <d v="2025-01-03T00:00:00"/>
    <x v="2"/>
    <x v="2"/>
    <x v="1"/>
    <x v="0"/>
    <x v="3"/>
    <x v="1"/>
    <x v="0"/>
    <x v="2"/>
  </r>
  <r>
    <s v="TX500013"/>
    <x v="5"/>
    <x v="3"/>
    <n v="118.6"/>
    <x v="12"/>
    <x v="0"/>
    <d v="2025-01-05T00:00:00"/>
    <x v="2"/>
    <x v="1"/>
    <x v="0"/>
    <x v="0"/>
    <x v="4"/>
    <x v="5"/>
    <x v="0"/>
    <x v="2"/>
  </r>
  <r>
    <s v="TX500014"/>
    <x v="6"/>
    <x v="6"/>
    <n v="88.4"/>
    <x v="13"/>
    <x v="0"/>
    <d v="2025-01-08T00:00:00"/>
    <x v="1"/>
    <x v="3"/>
    <x v="0"/>
    <x v="0"/>
    <x v="5"/>
    <x v="6"/>
    <x v="0"/>
    <x v="1"/>
  </r>
  <r>
    <s v="TX500015"/>
    <x v="10"/>
    <x v="0"/>
    <n v="66.7"/>
    <x v="14"/>
    <x v="0"/>
    <d v="2025-01-04T00:00:00"/>
    <x v="1"/>
    <x v="0"/>
    <x v="0"/>
    <x v="0"/>
    <x v="6"/>
    <x v="2"/>
    <x v="0"/>
    <x v="1"/>
  </r>
  <r>
    <s v="TX500016"/>
    <x v="9"/>
    <x v="7"/>
    <n v="30.9"/>
    <x v="15"/>
    <x v="0"/>
    <d v="2025-01-02T00:00:00"/>
    <x v="1"/>
    <x v="1"/>
    <x v="2"/>
    <x v="0"/>
    <x v="6"/>
    <x v="3"/>
    <x v="0"/>
    <x v="1"/>
  </r>
  <r>
    <s v="TX500017"/>
    <x v="4"/>
    <x v="2"/>
    <n v="31.1"/>
    <x v="16"/>
    <x v="0"/>
    <d v="2025-01-02T00:00:00"/>
    <x v="2"/>
    <x v="0"/>
    <x v="1"/>
    <x v="0"/>
    <x v="6"/>
    <x v="3"/>
    <x v="0"/>
    <x v="2"/>
  </r>
  <r>
    <s v="TX500018"/>
    <x v="7"/>
    <x v="2"/>
    <n v="36.6"/>
    <x v="17"/>
    <x v="0"/>
    <d v="2025-01-04T00:00:00"/>
    <x v="2"/>
    <x v="0"/>
    <x v="0"/>
    <x v="0"/>
    <x v="7"/>
    <x v="2"/>
    <x v="0"/>
    <x v="2"/>
  </r>
  <r>
    <s v="TX500019"/>
    <x v="6"/>
    <x v="8"/>
    <n v="51.1"/>
    <x v="18"/>
    <x v="0"/>
    <d v="2025-01-04T00:00:00"/>
    <x v="2"/>
    <x v="2"/>
    <x v="3"/>
    <x v="0"/>
    <x v="7"/>
    <x v="2"/>
    <x v="0"/>
    <x v="2"/>
  </r>
  <r>
    <s v="TX500020"/>
    <x v="9"/>
    <x v="0"/>
    <n v="25.2"/>
    <x v="19"/>
    <x v="0"/>
    <d v="2025-01-02T00:00:00"/>
    <x v="2"/>
    <x v="1"/>
    <x v="2"/>
    <x v="0"/>
    <x v="8"/>
    <x v="3"/>
    <x v="0"/>
    <x v="2"/>
  </r>
  <r>
    <s v="TX500021"/>
    <x v="9"/>
    <x v="9"/>
    <n v="43.8"/>
    <x v="20"/>
    <x v="0"/>
    <d v="2025-01-04T00:00:00"/>
    <x v="2"/>
    <x v="2"/>
    <x v="0"/>
    <x v="0"/>
    <x v="8"/>
    <x v="2"/>
    <x v="0"/>
    <x v="2"/>
  </r>
  <r>
    <s v="TX500022"/>
    <x v="8"/>
    <x v="4"/>
    <n v="46.7"/>
    <x v="21"/>
    <x v="0"/>
    <d v="2025-01-02T00:00:00"/>
    <x v="2"/>
    <x v="1"/>
    <x v="1"/>
    <x v="0"/>
    <x v="8"/>
    <x v="3"/>
    <x v="0"/>
    <x v="2"/>
  </r>
  <r>
    <s v="TX500023"/>
    <x v="3"/>
    <x v="10"/>
    <n v="79.900000000000006"/>
    <x v="22"/>
    <x v="0"/>
    <d v="2025-01-02T00:00:00"/>
    <x v="1"/>
    <x v="0"/>
    <x v="2"/>
    <x v="0"/>
    <x v="8"/>
    <x v="3"/>
    <x v="0"/>
    <x v="1"/>
  </r>
  <r>
    <s v="TX500024"/>
    <x v="11"/>
    <x v="8"/>
    <n v="26.4"/>
    <x v="23"/>
    <x v="0"/>
    <d v="2025-01-02T00:00:00"/>
    <x v="2"/>
    <x v="3"/>
    <x v="0"/>
    <x v="0"/>
    <x v="8"/>
    <x v="3"/>
    <x v="0"/>
    <x v="2"/>
  </r>
  <r>
    <s v="TX500025"/>
    <x v="12"/>
    <x v="8"/>
    <n v="88.8"/>
    <x v="24"/>
    <x v="0"/>
    <d v="2025-01-02T00:00:00"/>
    <x v="2"/>
    <x v="4"/>
    <x v="0"/>
    <x v="0"/>
    <x v="8"/>
    <x v="3"/>
    <x v="0"/>
    <x v="2"/>
  </r>
  <r>
    <s v="TX500026"/>
    <x v="0"/>
    <x v="7"/>
    <n v="17.5"/>
    <x v="25"/>
    <x v="0"/>
    <d v="2025-01-02T00:00:00"/>
    <x v="2"/>
    <x v="2"/>
    <x v="0"/>
    <x v="0"/>
    <x v="9"/>
    <x v="3"/>
    <x v="0"/>
    <x v="2"/>
  </r>
  <r>
    <s v="TX500027"/>
    <x v="1"/>
    <x v="11"/>
    <n v="38.700000000000003"/>
    <x v="26"/>
    <x v="0"/>
    <d v="2025-01-04T00:00:00"/>
    <x v="1"/>
    <x v="1"/>
    <x v="0"/>
    <x v="0"/>
    <x v="10"/>
    <x v="2"/>
    <x v="0"/>
    <x v="1"/>
  </r>
  <r>
    <s v="TX500028"/>
    <x v="13"/>
    <x v="12"/>
    <n v="57.2"/>
    <x v="27"/>
    <x v="0"/>
    <d v="2025-01-03T00:00:00"/>
    <x v="0"/>
    <x v="1"/>
    <x v="2"/>
    <x v="0"/>
    <x v="11"/>
    <x v="1"/>
    <x v="0"/>
    <x v="0"/>
  </r>
  <r>
    <s v="TX500029"/>
    <x v="6"/>
    <x v="9"/>
    <n v="50.9"/>
    <x v="28"/>
    <x v="0"/>
    <d v="2025-01-07T00:00:00"/>
    <x v="0"/>
    <x v="1"/>
    <x v="2"/>
    <x v="0"/>
    <x v="12"/>
    <x v="4"/>
    <x v="0"/>
    <x v="0"/>
  </r>
  <r>
    <s v="TX500030"/>
    <x v="14"/>
    <x v="3"/>
    <n v="41"/>
    <x v="29"/>
    <x v="0"/>
    <d v="2025-01-05T00:00:00"/>
    <x v="2"/>
    <x v="1"/>
    <x v="0"/>
    <x v="0"/>
    <x v="13"/>
    <x v="5"/>
    <x v="0"/>
    <x v="2"/>
  </r>
  <r>
    <s v="TX500031"/>
    <x v="8"/>
    <x v="3"/>
    <n v="19.100000000000001"/>
    <x v="30"/>
    <x v="0"/>
    <d v="2025-01-05T00:00:00"/>
    <x v="1"/>
    <x v="0"/>
    <x v="2"/>
    <x v="0"/>
    <x v="14"/>
    <x v="5"/>
    <x v="0"/>
    <x v="1"/>
  </r>
  <r>
    <s v="TX500032"/>
    <x v="2"/>
    <x v="9"/>
    <n v="166.1"/>
    <x v="31"/>
    <x v="0"/>
    <d v="2025-01-04T00:00:00"/>
    <x v="1"/>
    <x v="0"/>
    <x v="0"/>
    <x v="0"/>
    <x v="15"/>
    <x v="2"/>
    <x v="0"/>
    <x v="1"/>
  </r>
  <r>
    <s v="TX500033"/>
    <x v="4"/>
    <x v="2"/>
    <n v="29.9"/>
    <x v="32"/>
    <x v="0"/>
    <d v="2025-01-02T00:00:00"/>
    <x v="1"/>
    <x v="3"/>
    <x v="0"/>
    <x v="0"/>
    <x v="3"/>
    <x v="3"/>
    <x v="0"/>
    <x v="1"/>
  </r>
  <r>
    <s v="TX500034"/>
    <x v="10"/>
    <x v="13"/>
    <n v="21.7"/>
    <x v="33"/>
    <x v="0"/>
    <d v="2025-01-03T00:00:00"/>
    <x v="3"/>
    <x v="2"/>
    <x v="2"/>
    <x v="0"/>
    <x v="3"/>
    <x v="1"/>
    <x v="0"/>
    <x v="3"/>
  </r>
  <r>
    <s v="TX500035"/>
    <x v="11"/>
    <x v="1"/>
    <n v="32"/>
    <x v="34"/>
    <x v="0"/>
    <d v="2025-01-04T00:00:00"/>
    <x v="1"/>
    <x v="0"/>
    <x v="2"/>
    <x v="0"/>
    <x v="3"/>
    <x v="2"/>
    <x v="0"/>
    <x v="1"/>
  </r>
  <r>
    <s v="TX500036"/>
    <x v="8"/>
    <x v="1"/>
    <n v="15.8"/>
    <x v="35"/>
    <x v="0"/>
    <d v="2025-01-02T00:00:00"/>
    <x v="1"/>
    <x v="4"/>
    <x v="2"/>
    <x v="0"/>
    <x v="3"/>
    <x v="3"/>
    <x v="0"/>
    <x v="1"/>
  </r>
  <r>
    <s v="TX500037"/>
    <x v="2"/>
    <x v="14"/>
    <n v="203.1"/>
    <x v="36"/>
    <x v="0"/>
    <d v="2025-01-05T00:00:00"/>
    <x v="1"/>
    <x v="3"/>
    <x v="1"/>
    <x v="0"/>
    <x v="3"/>
    <x v="5"/>
    <x v="0"/>
    <x v="1"/>
  </r>
  <r>
    <s v="TX500038"/>
    <x v="7"/>
    <x v="15"/>
    <n v="39"/>
    <x v="37"/>
    <x v="0"/>
    <d v="2025-01-07T00:00:00"/>
    <x v="1"/>
    <x v="0"/>
    <x v="2"/>
    <x v="0"/>
    <x v="3"/>
    <x v="4"/>
    <x v="0"/>
    <x v="1"/>
  </r>
  <r>
    <s v="TX500039"/>
    <x v="10"/>
    <x v="0"/>
    <n v="26.5"/>
    <x v="38"/>
    <x v="1"/>
    <d v="2025-01-03T00:00:00"/>
    <x v="1"/>
    <x v="2"/>
    <x v="0"/>
    <x v="0"/>
    <x v="3"/>
    <x v="3"/>
    <x v="0"/>
    <x v="1"/>
  </r>
  <r>
    <s v="TX500040"/>
    <x v="5"/>
    <x v="0"/>
    <n v="43.1"/>
    <x v="39"/>
    <x v="1"/>
    <d v="2025-01-03T00:00:00"/>
    <x v="2"/>
    <x v="2"/>
    <x v="1"/>
    <x v="0"/>
    <x v="3"/>
    <x v="3"/>
    <x v="0"/>
    <x v="2"/>
  </r>
  <r>
    <s v="TX500041"/>
    <x v="1"/>
    <x v="2"/>
    <n v="139"/>
    <x v="40"/>
    <x v="1"/>
    <d v="2025-01-03T00:00:00"/>
    <x v="2"/>
    <x v="4"/>
    <x v="2"/>
    <x v="0"/>
    <x v="3"/>
    <x v="3"/>
    <x v="0"/>
    <x v="2"/>
  </r>
  <r>
    <s v="TX500042"/>
    <x v="12"/>
    <x v="0"/>
    <n v="80.7"/>
    <x v="41"/>
    <x v="1"/>
    <d v="2025-01-03T00:00:00"/>
    <x v="1"/>
    <x v="0"/>
    <x v="2"/>
    <x v="0"/>
    <x v="16"/>
    <x v="3"/>
    <x v="0"/>
    <x v="1"/>
  </r>
  <r>
    <s v="TX500043"/>
    <x v="4"/>
    <x v="1"/>
    <n v="54.5"/>
    <x v="42"/>
    <x v="1"/>
    <d v="2025-01-04T00:00:00"/>
    <x v="1"/>
    <x v="1"/>
    <x v="1"/>
    <x v="0"/>
    <x v="6"/>
    <x v="1"/>
    <x v="0"/>
    <x v="1"/>
  </r>
  <r>
    <s v="TX500044"/>
    <x v="6"/>
    <x v="2"/>
    <n v="68.599999999999994"/>
    <x v="43"/>
    <x v="1"/>
    <d v="2025-01-02T00:00:00"/>
    <x v="2"/>
    <x v="0"/>
    <x v="1"/>
    <x v="0"/>
    <x v="8"/>
    <x v="7"/>
    <x v="0"/>
    <x v="2"/>
  </r>
  <r>
    <s v="TX500045"/>
    <x v="2"/>
    <x v="12"/>
    <n v="135.9"/>
    <x v="44"/>
    <x v="1"/>
    <d v="2025-01-03T00:00:00"/>
    <x v="2"/>
    <x v="2"/>
    <x v="2"/>
    <x v="0"/>
    <x v="8"/>
    <x v="3"/>
    <x v="0"/>
    <x v="2"/>
  </r>
  <r>
    <s v="TX500046"/>
    <x v="2"/>
    <x v="12"/>
    <n v="70.900000000000006"/>
    <x v="45"/>
    <x v="1"/>
    <d v="2025-01-03T00:00:00"/>
    <x v="2"/>
    <x v="0"/>
    <x v="0"/>
    <x v="0"/>
    <x v="17"/>
    <x v="3"/>
    <x v="0"/>
    <x v="2"/>
  </r>
  <r>
    <s v="TX500047"/>
    <x v="1"/>
    <x v="9"/>
    <n v="63.7"/>
    <x v="46"/>
    <x v="1"/>
    <d v="2025-01-03T00:00:00"/>
    <x v="1"/>
    <x v="1"/>
    <x v="1"/>
    <x v="0"/>
    <x v="9"/>
    <x v="3"/>
    <x v="0"/>
    <x v="1"/>
  </r>
  <r>
    <s v="TX500048"/>
    <x v="13"/>
    <x v="0"/>
    <n v="29.7"/>
    <x v="47"/>
    <x v="1"/>
    <d v="2025-01-04T00:00:00"/>
    <x v="2"/>
    <x v="1"/>
    <x v="0"/>
    <x v="0"/>
    <x v="11"/>
    <x v="1"/>
    <x v="0"/>
    <x v="2"/>
  </r>
  <r>
    <s v="TX500049"/>
    <x v="4"/>
    <x v="2"/>
    <n v="26.8"/>
    <x v="48"/>
    <x v="1"/>
    <d v="2025-01-11T00:00:00"/>
    <x v="2"/>
    <x v="1"/>
    <x v="2"/>
    <x v="0"/>
    <x v="11"/>
    <x v="8"/>
    <x v="0"/>
    <x v="2"/>
  </r>
  <r>
    <s v="TX500050"/>
    <x v="14"/>
    <x v="0"/>
    <n v="27"/>
    <x v="49"/>
    <x v="1"/>
    <d v="2025-01-04T00:00:00"/>
    <x v="2"/>
    <x v="0"/>
    <x v="0"/>
    <x v="0"/>
    <x v="18"/>
    <x v="1"/>
    <x v="0"/>
    <x v="2"/>
  </r>
  <r>
    <s v="TX500051"/>
    <x v="8"/>
    <x v="0"/>
    <n v="41.4"/>
    <x v="50"/>
    <x v="1"/>
    <d v="2025-01-03T00:00:00"/>
    <x v="1"/>
    <x v="1"/>
    <x v="2"/>
    <x v="0"/>
    <x v="19"/>
    <x v="3"/>
    <x v="0"/>
    <x v="1"/>
  </r>
  <r>
    <s v="TX500052"/>
    <x v="8"/>
    <x v="1"/>
    <n v="24.3"/>
    <x v="51"/>
    <x v="1"/>
    <d v="2025-01-05T00:00:00"/>
    <x v="2"/>
    <x v="1"/>
    <x v="0"/>
    <x v="0"/>
    <x v="19"/>
    <x v="2"/>
    <x v="0"/>
    <x v="2"/>
  </r>
  <r>
    <s v="TX500053"/>
    <x v="8"/>
    <x v="2"/>
    <n v="41.7"/>
    <x v="52"/>
    <x v="1"/>
    <d v="2025-01-04T00:00:00"/>
    <x v="1"/>
    <x v="0"/>
    <x v="2"/>
    <x v="0"/>
    <x v="20"/>
    <x v="1"/>
    <x v="0"/>
    <x v="1"/>
  </r>
  <r>
    <s v="TX500054"/>
    <x v="0"/>
    <x v="1"/>
    <n v="18"/>
    <x v="53"/>
    <x v="1"/>
    <d v="2025-01-03T00:00:00"/>
    <x v="2"/>
    <x v="0"/>
    <x v="2"/>
    <x v="0"/>
    <x v="21"/>
    <x v="3"/>
    <x v="0"/>
    <x v="2"/>
  </r>
  <r>
    <s v="TX500055"/>
    <x v="7"/>
    <x v="2"/>
    <n v="91.3"/>
    <x v="54"/>
    <x v="1"/>
    <d v="2025-01-05T00:00:00"/>
    <x v="1"/>
    <x v="2"/>
    <x v="2"/>
    <x v="0"/>
    <x v="3"/>
    <x v="2"/>
    <x v="0"/>
    <x v="1"/>
  </r>
  <r>
    <s v="TX500056"/>
    <x v="8"/>
    <x v="8"/>
    <n v="19.3"/>
    <x v="55"/>
    <x v="1"/>
    <d v="2025-01-03T00:00:00"/>
    <x v="1"/>
    <x v="0"/>
    <x v="0"/>
    <x v="0"/>
    <x v="3"/>
    <x v="3"/>
    <x v="0"/>
    <x v="1"/>
  </r>
  <r>
    <s v="TX500057"/>
    <x v="12"/>
    <x v="15"/>
    <n v="63.2"/>
    <x v="56"/>
    <x v="1"/>
    <d v="2025-01-03T00:00:00"/>
    <x v="2"/>
    <x v="0"/>
    <x v="0"/>
    <x v="0"/>
    <x v="3"/>
    <x v="3"/>
    <x v="0"/>
    <x v="2"/>
  </r>
  <r>
    <s v="TX500058"/>
    <x v="10"/>
    <x v="11"/>
    <n v="33.299999999999997"/>
    <x v="57"/>
    <x v="2"/>
    <d v="2025-01-11T00:00:00"/>
    <x v="2"/>
    <x v="0"/>
    <x v="2"/>
    <x v="0"/>
    <x v="3"/>
    <x v="9"/>
    <x v="0"/>
    <x v="2"/>
  </r>
  <r>
    <s v="TX500059"/>
    <x v="7"/>
    <x v="1"/>
    <n v="64.2"/>
    <x v="58"/>
    <x v="2"/>
    <d v="2025-01-04T00:00:00"/>
    <x v="1"/>
    <x v="0"/>
    <x v="2"/>
    <x v="0"/>
    <x v="3"/>
    <x v="3"/>
    <x v="0"/>
    <x v="1"/>
  </r>
  <r>
    <s v="TX500060"/>
    <x v="9"/>
    <x v="2"/>
    <n v="23.1"/>
    <x v="59"/>
    <x v="2"/>
    <d v="2025-01-06T00:00:00"/>
    <x v="2"/>
    <x v="1"/>
    <x v="2"/>
    <x v="0"/>
    <x v="3"/>
    <x v="2"/>
    <x v="0"/>
    <x v="2"/>
  </r>
  <r>
    <s v="TX500061"/>
    <x v="15"/>
    <x v="1"/>
    <n v="71.099999999999994"/>
    <x v="60"/>
    <x v="2"/>
    <d v="2025-01-05T00:00:00"/>
    <x v="2"/>
    <x v="3"/>
    <x v="1"/>
    <x v="0"/>
    <x v="3"/>
    <x v="1"/>
    <x v="0"/>
    <x v="2"/>
  </r>
  <r>
    <s v="TX500062"/>
    <x v="0"/>
    <x v="1"/>
    <n v="11.5"/>
    <x v="61"/>
    <x v="2"/>
    <d v="2025-01-04T00:00:00"/>
    <x v="2"/>
    <x v="0"/>
    <x v="0"/>
    <x v="0"/>
    <x v="3"/>
    <x v="3"/>
    <x v="0"/>
    <x v="2"/>
  </r>
  <r>
    <s v="TX500063"/>
    <x v="15"/>
    <x v="10"/>
    <n v="69.2"/>
    <x v="62"/>
    <x v="2"/>
    <d v="2025-01-08T00:00:00"/>
    <x v="2"/>
    <x v="0"/>
    <x v="0"/>
    <x v="0"/>
    <x v="3"/>
    <x v="0"/>
    <x v="0"/>
    <x v="2"/>
  </r>
  <r>
    <s v="TX500064"/>
    <x v="0"/>
    <x v="0"/>
    <n v="26.8"/>
    <x v="63"/>
    <x v="2"/>
    <d v="2025-01-04T00:00:00"/>
    <x v="1"/>
    <x v="2"/>
    <x v="4"/>
    <x v="0"/>
    <x v="3"/>
    <x v="3"/>
    <x v="0"/>
    <x v="1"/>
  </r>
  <r>
    <s v="TX500065"/>
    <x v="16"/>
    <x v="2"/>
    <n v="31.2"/>
    <x v="64"/>
    <x v="2"/>
    <d v="2025-01-06T00:00:00"/>
    <x v="2"/>
    <x v="0"/>
    <x v="0"/>
    <x v="0"/>
    <x v="3"/>
    <x v="2"/>
    <x v="0"/>
    <x v="2"/>
  </r>
  <r>
    <s v="TX500066"/>
    <x v="12"/>
    <x v="1"/>
    <n v="113.2"/>
    <x v="65"/>
    <x v="2"/>
    <d v="2025-01-04T00:00:00"/>
    <x v="2"/>
    <x v="4"/>
    <x v="0"/>
    <x v="0"/>
    <x v="3"/>
    <x v="3"/>
    <x v="0"/>
    <x v="2"/>
  </r>
  <r>
    <s v="TX500067"/>
    <x v="10"/>
    <x v="8"/>
    <n v="21"/>
    <x v="66"/>
    <x v="2"/>
    <d v="2025-01-04T00:00:00"/>
    <x v="1"/>
    <x v="0"/>
    <x v="0"/>
    <x v="0"/>
    <x v="6"/>
    <x v="3"/>
    <x v="0"/>
    <x v="1"/>
  </r>
  <r>
    <s v="TX500068"/>
    <x v="1"/>
    <x v="1"/>
    <n v="89.1"/>
    <x v="67"/>
    <x v="2"/>
    <d v="2025-01-04T00:00:00"/>
    <x v="2"/>
    <x v="2"/>
    <x v="2"/>
    <x v="0"/>
    <x v="6"/>
    <x v="3"/>
    <x v="0"/>
    <x v="2"/>
  </r>
  <r>
    <s v="TX500069"/>
    <x v="1"/>
    <x v="0"/>
    <n v="97.7"/>
    <x v="68"/>
    <x v="2"/>
    <d v="2025-01-05T00:00:00"/>
    <x v="2"/>
    <x v="0"/>
    <x v="1"/>
    <x v="0"/>
    <x v="6"/>
    <x v="1"/>
    <x v="0"/>
    <x v="2"/>
  </r>
  <r>
    <s v="TX500070"/>
    <x v="15"/>
    <x v="12"/>
    <n v="97.7"/>
    <x v="69"/>
    <x v="2"/>
    <d v="2025-01-05T00:00:00"/>
    <x v="1"/>
    <x v="3"/>
    <x v="0"/>
    <x v="0"/>
    <x v="6"/>
    <x v="1"/>
    <x v="0"/>
    <x v="1"/>
  </r>
  <r>
    <s v="TX500071"/>
    <x v="17"/>
    <x v="2"/>
    <n v="47.4"/>
    <x v="60"/>
    <x v="2"/>
    <d v="2025-01-06T00:00:00"/>
    <x v="1"/>
    <x v="3"/>
    <x v="2"/>
    <x v="0"/>
    <x v="8"/>
    <x v="2"/>
    <x v="0"/>
    <x v="1"/>
  </r>
  <r>
    <s v="TX500072"/>
    <x v="7"/>
    <x v="0"/>
    <n v="89.6"/>
    <x v="70"/>
    <x v="2"/>
    <d v="2025-01-06T00:00:00"/>
    <x v="2"/>
    <x v="0"/>
    <x v="2"/>
    <x v="0"/>
    <x v="8"/>
    <x v="2"/>
    <x v="0"/>
    <x v="2"/>
  </r>
  <r>
    <s v="TX500073"/>
    <x v="10"/>
    <x v="16"/>
    <n v="28.4"/>
    <x v="71"/>
    <x v="2"/>
    <d v="2025-01-06T00:00:00"/>
    <x v="2"/>
    <x v="3"/>
    <x v="2"/>
    <x v="0"/>
    <x v="17"/>
    <x v="2"/>
    <x v="0"/>
    <x v="2"/>
  </r>
  <r>
    <s v="TX500074"/>
    <x v="0"/>
    <x v="1"/>
    <n v="17.899999999999999"/>
    <x v="72"/>
    <x v="2"/>
    <d v="2025-01-04T00:00:00"/>
    <x v="2"/>
    <x v="0"/>
    <x v="2"/>
    <x v="0"/>
    <x v="9"/>
    <x v="3"/>
    <x v="0"/>
    <x v="2"/>
  </r>
  <r>
    <s v="TX500075"/>
    <x v="9"/>
    <x v="1"/>
    <n v="48.4"/>
    <x v="73"/>
    <x v="2"/>
    <d v="2025-01-06T00:00:00"/>
    <x v="1"/>
    <x v="1"/>
    <x v="0"/>
    <x v="0"/>
    <x v="9"/>
    <x v="2"/>
    <x v="0"/>
    <x v="1"/>
  </r>
  <r>
    <s v="TX500076"/>
    <x v="12"/>
    <x v="12"/>
    <n v="44.4"/>
    <x v="74"/>
    <x v="2"/>
    <d v="2025-01-04T00:00:00"/>
    <x v="3"/>
    <x v="1"/>
    <x v="1"/>
    <x v="0"/>
    <x v="11"/>
    <x v="3"/>
    <x v="0"/>
    <x v="3"/>
  </r>
  <r>
    <s v="TX500077"/>
    <x v="2"/>
    <x v="8"/>
    <n v="103.7"/>
    <x v="75"/>
    <x v="2"/>
    <d v="2025-01-04T00:00:00"/>
    <x v="2"/>
    <x v="0"/>
    <x v="1"/>
    <x v="0"/>
    <x v="19"/>
    <x v="3"/>
    <x v="0"/>
    <x v="2"/>
  </r>
  <r>
    <s v="TX500078"/>
    <x v="5"/>
    <x v="12"/>
    <n v="58.6"/>
    <x v="76"/>
    <x v="2"/>
    <d v="2025-01-05T00:00:00"/>
    <x v="1"/>
    <x v="3"/>
    <x v="0"/>
    <x v="0"/>
    <x v="19"/>
    <x v="1"/>
    <x v="0"/>
    <x v="1"/>
  </r>
  <r>
    <s v="TX500079"/>
    <x v="9"/>
    <x v="12"/>
    <n v="54.8"/>
    <x v="77"/>
    <x v="2"/>
    <d v="2025-01-07T00:00:00"/>
    <x v="2"/>
    <x v="2"/>
    <x v="1"/>
    <x v="0"/>
    <x v="13"/>
    <x v="5"/>
    <x v="0"/>
    <x v="2"/>
  </r>
  <r>
    <s v="TX500080"/>
    <x v="12"/>
    <x v="2"/>
    <n v="78.8"/>
    <x v="78"/>
    <x v="2"/>
    <d v="2025-01-09T00:00:00"/>
    <x v="2"/>
    <x v="4"/>
    <x v="1"/>
    <x v="0"/>
    <x v="21"/>
    <x v="4"/>
    <x v="0"/>
    <x v="2"/>
  </r>
  <r>
    <s v="TX500081"/>
    <x v="18"/>
    <x v="9"/>
    <n v="36.799999999999997"/>
    <x v="79"/>
    <x v="2"/>
    <d v="2025-01-06T00:00:00"/>
    <x v="1"/>
    <x v="4"/>
    <x v="1"/>
    <x v="0"/>
    <x v="22"/>
    <x v="2"/>
    <x v="0"/>
    <x v="1"/>
  </r>
  <r>
    <s v="TX500082"/>
    <x v="6"/>
    <x v="13"/>
    <n v="50.6"/>
    <x v="80"/>
    <x v="2"/>
    <d v="2025-01-05T00:00:00"/>
    <x v="2"/>
    <x v="3"/>
    <x v="0"/>
    <x v="0"/>
    <x v="3"/>
    <x v="1"/>
    <x v="0"/>
    <x v="2"/>
  </r>
  <r>
    <s v="TX500083"/>
    <x v="15"/>
    <x v="2"/>
    <n v="36.799999999999997"/>
    <x v="81"/>
    <x v="2"/>
    <d v="2025-01-03T00:00:00"/>
    <x v="1"/>
    <x v="2"/>
    <x v="1"/>
    <x v="0"/>
    <x v="3"/>
    <x v="7"/>
    <x v="0"/>
    <x v="1"/>
  </r>
  <r>
    <s v="TX500084"/>
    <x v="8"/>
    <x v="11"/>
    <n v="41.8"/>
    <x v="82"/>
    <x v="3"/>
    <d v="2025-01-10T00:00:00"/>
    <x v="2"/>
    <x v="3"/>
    <x v="0"/>
    <x v="0"/>
    <x v="3"/>
    <x v="4"/>
    <x v="0"/>
    <x v="2"/>
  </r>
  <r>
    <s v="TX500085"/>
    <x v="18"/>
    <x v="0"/>
    <n v="77.3"/>
    <x v="83"/>
    <x v="3"/>
    <d v="2025-01-05T00:00:00"/>
    <x v="1"/>
    <x v="4"/>
    <x v="4"/>
    <x v="0"/>
    <x v="3"/>
    <x v="3"/>
    <x v="0"/>
    <x v="1"/>
  </r>
  <r>
    <s v="TX500086"/>
    <x v="8"/>
    <x v="12"/>
    <n v="19.8"/>
    <x v="84"/>
    <x v="3"/>
    <d v="2025-01-10T00:00:00"/>
    <x v="1"/>
    <x v="1"/>
    <x v="2"/>
    <x v="0"/>
    <x v="3"/>
    <x v="4"/>
    <x v="0"/>
    <x v="1"/>
  </r>
  <r>
    <s v="TX500087"/>
    <x v="13"/>
    <x v="12"/>
    <n v="15.5"/>
    <x v="85"/>
    <x v="3"/>
    <d v="2025-01-05T00:00:00"/>
    <x v="2"/>
    <x v="1"/>
    <x v="2"/>
    <x v="0"/>
    <x v="3"/>
    <x v="3"/>
    <x v="0"/>
    <x v="2"/>
  </r>
  <r>
    <s v="TX500088"/>
    <x v="12"/>
    <x v="0"/>
    <n v="46.8"/>
    <x v="86"/>
    <x v="3"/>
    <d v="2025-01-08T00:00:00"/>
    <x v="1"/>
    <x v="0"/>
    <x v="2"/>
    <x v="0"/>
    <x v="3"/>
    <x v="5"/>
    <x v="0"/>
    <x v="1"/>
  </r>
  <r>
    <s v="TX500089"/>
    <x v="9"/>
    <x v="11"/>
    <n v="28.6"/>
    <x v="87"/>
    <x v="3"/>
    <d v="2025-01-08T00:00:00"/>
    <x v="1"/>
    <x v="0"/>
    <x v="2"/>
    <x v="0"/>
    <x v="3"/>
    <x v="5"/>
    <x v="0"/>
    <x v="1"/>
  </r>
  <r>
    <s v="TX500090"/>
    <x v="2"/>
    <x v="0"/>
    <n v="97.7"/>
    <x v="68"/>
    <x v="3"/>
    <d v="2025-01-07T00:00:00"/>
    <x v="2"/>
    <x v="1"/>
    <x v="0"/>
    <x v="0"/>
    <x v="3"/>
    <x v="2"/>
    <x v="0"/>
    <x v="2"/>
  </r>
  <r>
    <s v="TX500091"/>
    <x v="9"/>
    <x v="9"/>
    <n v="54.7"/>
    <x v="88"/>
    <x v="3"/>
    <d v="2025-01-07T00:00:00"/>
    <x v="0"/>
    <x v="0"/>
    <x v="2"/>
    <x v="0"/>
    <x v="23"/>
    <x v="2"/>
    <x v="0"/>
    <x v="0"/>
  </r>
  <r>
    <s v="TX500092"/>
    <x v="2"/>
    <x v="13"/>
    <n v="130.5"/>
    <x v="89"/>
    <x v="3"/>
    <d v="2025-01-06T00:00:00"/>
    <x v="2"/>
    <x v="0"/>
    <x v="1"/>
    <x v="0"/>
    <x v="23"/>
    <x v="1"/>
    <x v="0"/>
    <x v="2"/>
  </r>
  <r>
    <s v="TX500093"/>
    <x v="11"/>
    <x v="1"/>
    <n v="50.4"/>
    <x v="90"/>
    <x v="3"/>
    <d v="2025-01-06T00:00:00"/>
    <x v="1"/>
    <x v="2"/>
    <x v="2"/>
    <x v="0"/>
    <x v="6"/>
    <x v="1"/>
    <x v="0"/>
    <x v="1"/>
  </r>
  <r>
    <s v="TX500094"/>
    <x v="6"/>
    <x v="15"/>
    <n v="61.5"/>
    <x v="91"/>
    <x v="3"/>
    <d v="2025-01-05T00:00:00"/>
    <x v="0"/>
    <x v="3"/>
    <x v="1"/>
    <x v="0"/>
    <x v="11"/>
    <x v="3"/>
    <x v="0"/>
    <x v="0"/>
  </r>
  <r>
    <s v="TX500095"/>
    <x v="9"/>
    <x v="12"/>
    <n v="30.1"/>
    <x v="92"/>
    <x v="3"/>
    <d v="2025-01-05T00:00:00"/>
    <x v="2"/>
    <x v="0"/>
    <x v="2"/>
    <x v="0"/>
    <x v="21"/>
    <x v="3"/>
    <x v="0"/>
    <x v="2"/>
  </r>
  <r>
    <s v="TX500096"/>
    <x v="2"/>
    <x v="9"/>
    <n v="74.8"/>
    <x v="93"/>
    <x v="3"/>
    <d v="2025-01-05T00:00:00"/>
    <x v="2"/>
    <x v="1"/>
    <x v="0"/>
    <x v="0"/>
    <x v="1"/>
    <x v="3"/>
    <x v="0"/>
    <x v="2"/>
  </r>
  <r>
    <s v="TX500097"/>
    <x v="16"/>
    <x v="2"/>
    <n v="64.900000000000006"/>
    <x v="94"/>
    <x v="3"/>
    <d v="2025-01-11T00:00:00"/>
    <x v="1"/>
    <x v="0"/>
    <x v="0"/>
    <x v="0"/>
    <x v="2"/>
    <x v="6"/>
    <x v="0"/>
    <x v="1"/>
  </r>
  <r>
    <s v="TX500098"/>
    <x v="9"/>
    <x v="1"/>
    <n v="50.5"/>
    <x v="95"/>
    <x v="3"/>
    <d v="2025-01-06T00:00:00"/>
    <x v="1"/>
    <x v="1"/>
    <x v="0"/>
    <x v="0"/>
    <x v="22"/>
    <x v="1"/>
    <x v="0"/>
    <x v="1"/>
  </r>
  <r>
    <s v="TX500099"/>
    <x v="11"/>
    <x v="3"/>
    <n v="63"/>
    <x v="96"/>
    <x v="3"/>
    <d v="2025-01-07T00:00:00"/>
    <x v="1"/>
    <x v="3"/>
    <x v="2"/>
    <x v="0"/>
    <x v="3"/>
    <x v="2"/>
    <x v="0"/>
    <x v="1"/>
  </r>
  <r>
    <s v="TX500100"/>
    <x v="2"/>
    <x v="2"/>
    <n v="93.6"/>
    <x v="97"/>
    <x v="3"/>
    <d v="2025-01-17T00:00:00"/>
    <x v="2"/>
    <x v="0"/>
    <x v="2"/>
    <x v="0"/>
    <x v="3"/>
    <x v="10"/>
    <x v="0"/>
    <x v="2"/>
  </r>
  <r>
    <s v="TX500101"/>
    <x v="5"/>
    <x v="17"/>
    <n v="41.4"/>
    <x v="98"/>
    <x v="3"/>
    <d v="2025-01-08T00:00:00"/>
    <x v="1"/>
    <x v="2"/>
    <x v="2"/>
    <x v="0"/>
    <x v="3"/>
    <x v="5"/>
    <x v="0"/>
    <x v="1"/>
  </r>
  <r>
    <s v="TX500102"/>
    <x v="2"/>
    <x v="1"/>
    <n v="160"/>
    <x v="99"/>
    <x v="4"/>
    <d v="2025-01-06T00:00:00"/>
    <x v="1"/>
    <x v="2"/>
    <x v="2"/>
    <x v="0"/>
    <x v="5"/>
    <x v="3"/>
    <x v="1"/>
    <x v="1"/>
  </r>
  <r>
    <s v="TX500103"/>
    <x v="19"/>
    <x v="5"/>
    <n v="10.5"/>
    <x v="100"/>
    <x v="4"/>
    <d v="2025-01-08T00:00:00"/>
    <x v="2"/>
    <x v="4"/>
    <x v="0"/>
    <x v="0"/>
    <x v="8"/>
    <x v="2"/>
    <x v="1"/>
    <x v="2"/>
  </r>
  <r>
    <s v="TX500104"/>
    <x v="10"/>
    <x v="1"/>
    <n v="53"/>
    <x v="101"/>
    <x v="4"/>
    <d v="2025-01-05T00:00:00"/>
    <x v="1"/>
    <x v="2"/>
    <x v="4"/>
    <x v="0"/>
    <x v="17"/>
    <x v="7"/>
    <x v="1"/>
    <x v="1"/>
  </r>
  <r>
    <s v="TX500105"/>
    <x v="8"/>
    <x v="2"/>
    <n v="18.5"/>
    <x v="102"/>
    <x v="4"/>
    <d v="2025-01-10T00:00:00"/>
    <x v="2"/>
    <x v="1"/>
    <x v="2"/>
    <x v="0"/>
    <x v="11"/>
    <x v="0"/>
    <x v="1"/>
    <x v="2"/>
  </r>
  <r>
    <s v="TX500106"/>
    <x v="16"/>
    <x v="2"/>
    <n v="84.5"/>
    <x v="103"/>
    <x v="4"/>
    <d v="2025-01-07T00:00:00"/>
    <x v="2"/>
    <x v="4"/>
    <x v="1"/>
    <x v="0"/>
    <x v="13"/>
    <x v="1"/>
    <x v="1"/>
    <x v="2"/>
  </r>
  <r>
    <s v="TX500107"/>
    <x v="15"/>
    <x v="3"/>
    <n v="31.2"/>
    <x v="104"/>
    <x v="4"/>
    <d v="2025-01-05T00:00:00"/>
    <x v="2"/>
    <x v="2"/>
    <x v="2"/>
    <x v="0"/>
    <x v="3"/>
    <x v="7"/>
    <x v="1"/>
    <x v="2"/>
  </r>
  <r>
    <s v="TX500108"/>
    <x v="8"/>
    <x v="16"/>
    <n v="32.6"/>
    <x v="105"/>
    <x v="4"/>
    <d v="2025-01-06T00:00:00"/>
    <x v="1"/>
    <x v="1"/>
    <x v="1"/>
    <x v="0"/>
    <x v="3"/>
    <x v="3"/>
    <x v="1"/>
    <x v="1"/>
  </r>
  <r>
    <s v="TX500109"/>
    <x v="10"/>
    <x v="12"/>
    <n v="45.4"/>
    <x v="106"/>
    <x v="4"/>
    <d v="2025-01-07T00:00:00"/>
    <x v="1"/>
    <x v="1"/>
    <x v="0"/>
    <x v="0"/>
    <x v="3"/>
    <x v="1"/>
    <x v="1"/>
    <x v="1"/>
  </r>
  <r>
    <s v="TX500110"/>
    <x v="2"/>
    <x v="4"/>
    <n v="120"/>
    <x v="107"/>
    <x v="4"/>
    <d v="2025-01-06T00:00:00"/>
    <x v="2"/>
    <x v="2"/>
    <x v="4"/>
    <x v="0"/>
    <x v="3"/>
    <x v="3"/>
    <x v="1"/>
    <x v="2"/>
  </r>
  <r>
    <s v="TX500111"/>
    <x v="0"/>
    <x v="12"/>
    <n v="18.899999999999999"/>
    <x v="108"/>
    <x v="4"/>
    <d v="2025-01-07T00:00:00"/>
    <x v="1"/>
    <x v="0"/>
    <x v="2"/>
    <x v="0"/>
    <x v="3"/>
    <x v="1"/>
    <x v="1"/>
    <x v="1"/>
  </r>
  <r>
    <s v="TX500112"/>
    <x v="4"/>
    <x v="0"/>
    <n v="32"/>
    <x v="109"/>
    <x v="4"/>
    <d v="2025-01-07T00:00:00"/>
    <x v="2"/>
    <x v="4"/>
    <x v="0"/>
    <x v="0"/>
    <x v="3"/>
    <x v="1"/>
    <x v="1"/>
    <x v="2"/>
  </r>
  <r>
    <s v="TX500113"/>
    <x v="7"/>
    <x v="1"/>
    <n v="37.299999999999997"/>
    <x v="110"/>
    <x v="4"/>
    <d v="2025-01-06T00:00:00"/>
    <x v="1"/>
    <x v="2"/>
    <x v="0"/>
    <x v="0"/>
    <x v="3"/>
    <x v="3"/>
    <x v="1"/>
    <x v="1"/>
  </r>
  <r>
    <s v="TX500114"/>
    <x v="18"/>
    <x v="0"/>
    <n v="119.8"/>
    <x v="111"/>
    <x v="4"/>
    <d v="2025-01-06T00:00:00"/>
    <x v="1"/>
    <x v="1"/>
    <x v="1"/>
    <x v="0"/>
    <x v="3"/>
    <x v="3"/>
    <x v="1"/>
    <x v="1"/>
  </r>
  <r>
    <s v="TX500115"/>
    <x v="10"/>
    <x v="1"/>
    <n v="26.4"/>
    <x v="112"/>
    <x v="4"/>
    <d v="2025-01-08T00:00:00"/>
    <x v="1"/>
    <x v="2"/>
    <x v="0"/>
    <x v="0"/>
    <x v="3"/>
    <x v="2"/>
    <x v="1"/>
    <x v="1"/>
  </r>
  <r>
    <s v="TX500116"/>
    <x v="6"/>
    <x v="13"/>
    <n v="76.5"/>
    <x v="113"/>
    <x v="4"/>
    <d v="2025-01-06T00:00:00"/>
    <x v="2"/>
    <x v="1"/>
    <x v="1"/>
    <x v="0"/>
    <x v="3"/>
    <x v="3"/>
    <x v="1"/>
    <x v="2"/>
  </r>
  <r>
    <s v="TX500117"/>
    <x v="4"/>
    <x v="7"/>
    <n v="45.7"/>
    <x v="114"/>
    <x v="4"/>
    <d v="2025-01-06T00:00:00"/>
    <x v="2"/>
    <x v="2"/>
    <x v="0"/>
    <x v="0"/>
    <x v="24"/>
    <x v="3"/>
    <x v="1"/>
    <x v="2"/>
  </r>
  <r>
    <s v="TX500118"/>
    <x v="1"/>
    <x v="4"/>
    <n v="92.6"/>
    <x v="115"/>
    <x v="4"/>
    <d v="2025-01-07T00:00:00"/>
    <x v="2"/>
    <x v="2"/>
    <x v="0"/>
    <x v="0"/>
    <x v="25"/>
    <x v="1"/>
    <x v="1"/>
    <x v="2"/>
  </r>
  <r>
    <s v="TX500119"/>
    <x v="6"/>
    <x v="13"/>
    <n v="60.1"/>
    <x v="116"/>
    <x v="4"/>
    <d v="2025-01-06T00:00:00"/>
    <x v="1"/>
    <x v="1"/>
    <x v="0"/>
    <x v="0"/>
    <x v="23"/>
    <x v="3"/>
    <x v="1"/>
    <x v="1"/>
  </r>
  <r>
    <s v="TX500120"/>
    <x v="1"/>
    <x v="2"/>
    <n v="73"/>
    <x v="20"/>
    <x v="4"/>
    <d v="2025-01-06T00:00:00"/>
    <x v="2"/>
    <x v="3"/>
    <x v="1"/>
    <x v="0"/>
    <x v="6"/>
    <x v="3"/>
    <x v="1"/>
    <x v="2"/>
  </r>
  <r>
    <s v="TX500121"/>
    <x v="6"/>
    <x v="2"/>
    <n v="44.3"/>
    <x v="117"/>
    <x v="4"/>
    <d v="2025-01-09T00:00:00"/>
    <x v="0"/>
    <x v="2"/>
    <x v="2"/>
    <x v="0"/>
    <x v="6"/>
    <x v="5"/>
    <x v="1"/>
    <x v="0"/>
  </r>
  <r>
    <s v="TX500122"/>
    <x v="6"/>
    <x v="2"/>
    <n v="63.3"/>
    <x v="118"/>
    <x v="4"/>
    <d v="2025-01-06T00:00:00"/>
    <x v="1"/>
    <x v="2"/>
    <x v="0"/>
    <x v="0"/>
    <x v="6"/>
    <x v="3"/>
    <x v="1"/>
    <x v="1"/>
  </r>
  <r>
    <s v="TX500123"/>
    <x v="12"/>
    <x v="0"/>
    <n v="66.8"/>
    <x v="119"/>
    <x v="4"/>
    <d v="2025-01-06T00:00:00"/>
    <x v="2"/>
    <x v="1"/>
    <x v="0"/>
    <x v="0"/>
    <x v="6"/>
    <x v="3"/>
    <x v="1"/>
    <x v="2"/>
  </r>
  <r>
    <s v="TX500124"/>
    <x v="2"/>
    <x v="1"/>
    <n v="59.7"/>
    <x v="120"/>
    <x v="4"/>
    <d v="2025-01-06T00:00:00"/>
    <x v="2"/>
    <x v="0"/>
    <x v="0"/>
    <x v="0"/>
    <x v="7"/>
    <x v="3"/>
    <x v="1"/>
    <x v="2"/>
  </r>
  <r>
    <s v="TX500125"/>
    <x v="1"/>
    <x v="13"/>
    <n v="92"/>
    <x v="121"/>
    <x v="4"/>
    <d v="2025-01-07T00:00:00"/>
    <x v="1"/>
    <x v="0"/>
    <x v="4"/>
    <x v="0"/>
    <x v="7"/>
    <x v="1"/>
    <x v="1"/>
    <x v="1"/>
  </r>
  <r>
    <s v="TX500126"/>
    <x v="7"/>
    <x v="1"/>
    <n v="87.6"/>
    <x v="122"/>
    <x v="4"/>
    <d v="2025-01-07T00:00:00"/>
    <x v="1"/>
    <x v="1"/>
    <x v="1"/>
    <x v="0"/>
    <x v="8"/>
    <x v="1"/>
    <x v="1"/>
    <x v="1"/>
  </r>
  <r>
    <s v="TX500127"/>
    <x v="6"/>
    <x v="2"/>
    <n v="84.5"/>
    <x v="103"/>
    <x v="4"/>
    <d v="2025-01-06T00:00:00"/>
    <x v="2"/>
    <x v="1"/>
    <x v="1"/>
    <x v="0"/>
    <x v="8"/>
    <x v="3"/>
    <x v="1"/>
    <x v="2"/>
  </r>
  <r>
    <s v="TX500128"/>
    <x v="1"/>
    <x v="1"/>
    <n v="116.3"/>
    <x v="123"/>
    <x v="5"/>
    <d v="2025-01-08T00:00:00"/>
    <x v="1"/>
    <x v="2"/>
    <x v="2"/>
    <x v="0"/>
    <x v="8"/>
    <x v="1"/>
    <x v="1"/>
    <x v="1"/>
  </r>
  <r>
    <s v="TX500129"/>
    <x v="6"/>
    <x v="9"/>
    <n v="52.7"/>
    <x v="124"/>
    <x v="5"/>
    <d v="2025-01-10T00:00:00"/>
    <x v="1"/>
    <x v="0"/>
    <x v="0"/>
    <x v="0"/>
    <x v="8"/>
    <x v="5"/>
    <x v="1"/>
    <x v="1"/>
  </r>
  <r>
    <s v="TX500130"/>
    <x v="16"/>
    <x v="2"/>
    <n v="34.200000000000003"/>
    <x v="125"/>
    <x v="5"/>
    <d v="2025-01-07T00:00:00"/>
    <x v="1"/>
    <x v="0"/>
    <x v="2"/>
    <x v="0"/>
    <x v="26"/>
    <x v="3"/>
    <x v="1"/>
    <x v="1"/>
  </r>
  <r>
    <s v="TX500131"/>
    <x v="9"/>
    <x v="0"/>
    <n v="23.3"/>
    <x v="126"/>
    <x v="5"/>
    <d v="2025-01-15T00:00:00"/>
    <x v="3"/>
    <x v="2"/>
    <x v="2"/>
    <x v="0"/>
    <x v="9"/>
    <x v="8"/>
    <x v="1"/>
    <x v="3"/>
  </r>
  <r>
    <s v="TX500132"/>
    <x v="0"/>
    <x v="18"/>
    <n v="25.9"/>
    <x v="127"/>
    <x v="5"/>
    <d v="2025-01-09T00:00:00"/>
    <x v="2"/>
    <x v="4"/>
    <x v="1"/>
    <x v="0"/>
    <x v="9"/>
    <x v="2"/>
    <x v="1"/>
    <x v="2"/>
  </r>
  <r>
    <s v="TX500133"/>
    <x v="6"/>
    <x v="19"/>
    <n v="54.9"/>
    <x v="128"/>
    <x v="5"/>
    <d v="2025-01-07T00:00:00"/>
    <x v="1"/>
    <x v="1"/>
    <x v="2"/>
    <x v="0"/>
    <x v="9"/>
    <x v="3"/>
    <x v="1"/>
    <x v="1"/>
  </r>
  <r>
    <s v="TX500134"/>
    <x v="5"/>
    <x v="2"/>
    <n v="75.8"/>
    <x v="129"/>
    <x v="5"/>
    <d v="2025-01-11T00:00:00"/>
    <x v="3"/>
    <x v="1"/>
    <x v="0"/>
    <x v="0"/>
    <x v="18"/>
    <x v="0"/>
    <x v="1"/>
    <x v="3"/>
  </r>
  <r>
    <s v="TX500135"/>
    <x v="1"/>
    <x v="11"/>
    <n v="44.9"/>
    <x v="130"/>
    <x v="5"/>
    <d v="2025-01-09T00:00:00"/>
    <x v="2"/>
    <x v="2"/>
    <x v="2"/>
    <x v="0"/>
    <x v="2"/>
    <x v="2"/>
    <x v="1"/>
    <x v="2"/>
  </r>
  <r>
    <s v="TX500136"/>
    <x v="11"/>
    <x v="1"/>
    <n v="48.8"/>
    <x v="131"/>
    <x v="5"/>
    <d v="2025-01-08T00:00:00"/>
    <x v="2"/>
    <x v="3"/>
    <x v="0"/>
    <x v="0"/>
    <x v="27"/>
    <x v="1"/>
    <x v="1"/>
    <x v="2"/>
  </r>
  <r>
    <s v="TX500137"/>
    <x v="15"/>
    <x v="0"/>
    <n v="20.3"/>
    <x v="132"/>
    <x v="5"/>
    <d v="2025-01-07T00:00:00"/>
    <x v="2"/>
    <x v="0"/>
    <x v="2"/>
    <x v="0"/>
    <x v="22"/>
    <x v="3"/>
    <x v="1"/>
    <x v="2"/>
  </r>
  <r>
    <s v="TX500138"/>
    <x v="5"/>
    <x v="3"/>
    <n v="36.4"/>
    <x v="133"/>
    <x v="5"/>
    <d v="2025-01-09T00:00:00"/>
    <x v="2"/>
    <x v="0"/>
    <x v="1"/>
    <x v="0"/>
    <x v="3"/>
    <x v="2"/>
    <x v="1"/>
    <x v="2"/>
  </r>
  <r>
    <s v="TX500139"/>
    <x v="0"/>
    <x v="0"/>
    <n v="19"/>
    <x v="134"/>
    <x v="5"/>
    <d v="2025-01-11T00:00:00"/>
    <x v="2"/>
    <x v="1"/>
    <x v="2"/>
    <x v="0"/>
    <x v="3"/>
    <x v="0"/>
    <x v="1"/>
    <x v="2"/>
  </r>
  <r>
    <s v="TX500140"/>
    <x v="8"/>
    <x v="0"/>
    <n v="17.8"/>
    <x v="135"/>
    <x v="5"/>
    <d v="2025-01-06T00:00:00"/>
    <x v="1"/>
    <x v="0"/>
    <x v="0"/>
    <x v="0"/>
    <x v="3"/>
    <x v="7"/>
    <x v="1"/>
    <x v="1"/>
  </r>
  <r>
    <s v="TX500141"/>
    <x v="2"/>
    <x v="13"/>
    <n v="139.6"/>
    <x v="136"/>
    <x v="5"/>
    <d v="2025-01-09T00:00:00"/>
    <x v="1"/>
    <x v="0"/>
    <x v="0"/>
    <x v="0"/>
    <x v="3"/>
    <x v="2"/>
    <x v="1"/>
    <x v="1"/>
  </r>
  <r>
    <s v="TX500142"/>
    <x v="9"/>
    <x v="0"/>
    <n v="31.7"/>
    <x v="137"/>
    <x v="5"/>
    <d v="2025-01-06T00:00:00"/>
    <x v="0"/>
    <x v="0"/>
    <x v="0"/>
    <x v="0"/>
    <x v="3"/>
    <x v="7"/>
    <x v="1"/>
    <x v="0"/>
  </r>
  <r>
    <s v="TX500143"/>
    <x v="8"/>
    <x v="8"/>
    <n v="26.3"/>
    <x v="138"/>
    <x v="5"/>
    <d v="2025-01-09T00:00:00"/>
    <x v="2"/>
    <x v="4"/>
    <x v="4"/>
    <x v="0"/>
    <x v="3"/>
    <x v="2"/>
    <x v="1"/>
    <x v="2"/>
  </r>
  <r>
    <s v="TX500144"/>
    <x v="4"/>
    <x v="1"/>
    <n v="47.8"/>
    <x v="139"/>
    <x v="5"/>
    <d v="2025-01-07T00:00:00"/>
    <x v="0"/>
    <x v="0"/>
    <x v="0"/>
    <x v="0"/>
    <x v="3"/>
    <x v="3"/>
    <x v="1"/>
    <x v="0"/>
  </r>
  <r>
    <s v="TX500145"/>
    <x v="9"/>
    <x v="2"/>
    <n v="69.400000000000006"/>
    <x v="140"/>
    <x v="5"/>
    <d v="2025-01-10T00:00:00"/>
    <x v="2"/>
    <x v="0"/>
    <x v="0"/>
    <x v="0"/>
    <x v="3"/>
    <x v="5"/>
    <x v="1"/>
    <x v="2"/>
  </r>
  <r>
    <s v="TX500146"/>
    <x v="18"/>
    <x v="4"/>
    <n v="25.8"/>
    <x v="141"/>
    <x v="5"/>
    <d v="2025-01-07T00:00:00"/>
    <x v="1"/>
    <x v="4"/>
    <x v="4"/>
    <x v="0"/>
    <x v="3"/>
    <x v="3"/>
    <x v="1"/>
    <x v="1"/>
  </r>
  <r>
    <s v="TX500147"/>
    <x v="0"/>
    <x v="12"/>
    <n v="26.4"/>
    <x v="142"/>
    <x v="5"/>
    <d v="2025-01-07T00:00:00"/>
    <x v="1"/>
    <x v="1"/>
    <x v="2"/>
    <x v="0"/>
    <x v="3"/>
    <x v="3"/>
    <x v="1"/>
    <x v="1"/>
  </r>
  <r>
    <s v="TX500148"/>
    <x v="8"/>
    <x v="12"/>
    <n v="15.7"/>
    <x v="143"/>
    <x v="5"/>
    <d v="2025-01-07T00:00:00"/>
    <x v="1"/>
    <x v="2"/>
    <x v="0"/>
    <x v="0"/>
    <x v="3"/>
    <x v="3"/>
    <x v="1"/>
    <x v="1"/>
  </r>
  <r>
    <s v="TX500149"/>
    <x v="8"/>
    <x v="0"/>
    <n v="39.700000000000003"/>
    <x v="144"/>
    <x v="5"/>
    <d v="2025-01-10T00:00:00"/>
    <x v="1"/>
    <x v="0"/>
    <x v="0"/>
    <x v="0"/>
    <x v="3"/>
    <x v="5"/>
    <x v="1"/>
    <x v="1"/>
  </r>
  <r>
    <s v="TX500150"/>
    <x v="10"/>
    <x v="12"/>
    <n v="31.1"/>
    <x v="145"/>
    <x v="5"/>
    <d v="2025-01-08T00:00:00"/>
    <x v="2"/>
    <x v="2"/>
    <x v="1"/>
    <x v="0"/>
    <x v="3"/>
    <x v="1"/>
    <x v="1"/>
    <x v="2"/>
  </r>
  <r>
    <s v="TX500151"/>
    <x v="13"/>
    <x v="20"/>
    <n v="23.4"/>
    <x v="146"/>
    <x v="5"/>
    <d v="2025-01-15T00:00:00"/>
    <x v="1"/>
    <x v="0"/>
    <x v="0"/>
    <x v="0"/>
    <x v="3"/>
    <x v="8"/>
    <x v="1"/>
    <x v="1"/>
  </r>
  <r>
    <s v="TX500152"/>
    <x v="1"/>
    <x v="12"/>
    <n v="57.1"/>
    <x v="147"/>
    <x v="6"/>
    <d v="2025-01-08T00:00:00"/>
    <x v="1"/>
    <x v="2"/>
    <x v="0"/>
    <x v="0"/>
    <x v="25"/>
    <x v="3"/>
    <x v="1"/>
    <x v="1"/>
  </r>
  <r>
    <s v="TX500153"/>
    <x v="2"/>
    <x v="9"/>
    <n v="89.9"/>
    <x v="148"/>
    <x v="6"/>
    <d v="2025-01-07T00:00:00"/>
    <x v="2"/>
    <x v="0"/>
    <x v="3"/>
    <x v="0"/>
    <x v="23"/>
    <x v="7"/>
    <x v="1"/>
    <x v="2"/>
  </r>
  <r>
    <s v="TX500154"/>
    <x v="10"/>
    <x v="3"/>
    <n v="48.1"/>
    <x v="149"/>
    <x v="6"/>
    <d v="2025-01-09T00:00:00"/>
    <x v="2"/>
    <x v="1"/>
    <x v="2"/>
    <x v="0"/>
    <x v="6"/>
    <x v="1"/>
    <x v="1"/>
    <x v="2"/>
  </r>
  <r>
    <s v="TX500155"/>
    <x v="8"/>
    <x v="1"/>
    <n v="29.3"/>
    <x v="150"/>
    <x v="6"/>
    <d v="2025-01-07T00:00:00"/>
    <x v="2"/>
    <x v="1"/>
    <x v="1"/>
    <x v="0"/>
    <x v="6"/>
    <x v="7"/>
    <x v="1"/>
    <x v="2"/>
  </r>
  <r>
    <s v="TX500156"/>
    <x v="8"/>
    <x v="12"/>
    <n v="28.8"/>
    <x v="151"/>
    <x v="6"/>
    <d v="2025-01-08T00:00:00"/>
    <x v="2"/>
    <x v="0"/>
    <x v="4"/>
    <x v="0"/>
    <x v="6"/>
    <x v="3"/>
    <x v="1"/>
    <x v="2"/>
  </r>
  <r>
    <s v="TX500157"/>
    <x v="10"/>
    <x v="9"/>
    <n v="40.5"/>
    <x v="152"/>
    <x v="6"/>
    <d v="2025-01-11T00:00:00"/>
    <x v="2"/>
    <x v="3"/>
    <x v="0"/>
    <x v="0"/>
    <x v="6"/>
    <x v="5"/>
    <x v="1"/>
    <x v="2"/>
  </r>
  <r>
    <s v="TX500158"/>
    <x v="18"/>
    <x v="21"/>
    <n v="65.099999999999994"/>
    <x v="153"/>
    <x v="6"/>
    <d v="2025-01-08T00:00:00"/>
    <x v="2"/>
    <x v="4"/>
    <x v="0"/>
    <x v="0"/>
    <x v="7"/>
    <x v="3"/>
    <x v="1"/>
    <x v="2"/>
  </r>
  <r>
    <s v="TX500159"/>
    <x v="8"/>
    <x v="12"/>
    <n v="40.299999999999997"/>
    <x v="154"/>
    <x v="6"/>
    <d v="2025-01-12T00:00:00"/>
    <x v="2"/>
    <x v="2"/>
    <x v="0"/>
    <x v="0"/>
    <x v="7"/>
    <x v="0"/>
    <x v="1"/>
    <x v="2"/>
  </r>
  <r>
    <s v="TX500160"/>
    <x v="6"/>
    <x v="9"/>
    <n v="51.8"/>
    <x v="155"/>
    <x v="6"/>
    <d v="2025-01-08T00:00:00"/>
    <x v="1"/>
    <x v="2"/>
    <x v="2"/>
    <x v="0"/>
    <x v="8"/>
    <x v="3"/>
    <x v="1"/>
    <x v="1"/>
  </r>
  <r>
    <s v="TX500161"/>
    <x v="6"/>
    <x v="2"/>
    <n v="61.3"/>
    <x v="156"/>
    <x v="6"/>
    <d v="2025-01-08T00:00:00"/>
    <x v="2"/>
    <x v="3"/>
    <x v="0"/>
    <x v="0"/>
    <x v="8"/>
    <x v="3"/>
    <x v="1"/>
    <x v="2"/>
  </r>
  <r>
    <s v="TX500162"/>
    <x v="2"/>
    <x v="12"/>
    <n v="122.5"/>
    <x v="157"/>
    <x v="6"/>
    <d v="2025-01-08T00:00:00"/>
    <x v="1"/>
    <x v="0"/>
    <x v="0"/>
    <x v="0"/>
    <x v="8"/>
    <x v="3"/>
    <x v="1"/>
    <x v="1"/>
  </r>
  <r>
    <s v="TX500163"/>
    <x v="0"/>
    <x v="11"/>
    <n v="12.5"/>
    <x v="158"/>
    <x v="6"/>
    <d v="2025-01-08T00:00:00"/>
    <x v="0"/>
    <x v="1"/>
    <x v="2"/>
    <x v="0"/>
    <x v="8"/>
    <x v="3"/>
    <x v="1"/>
    <x v="0"/>
  </r>
  <r>
    <s v="TX500164"/>
    <x v="15"/>
    <x v="8"/>
    <n v="37.5"/>
    <x v="159"/>
    <x v="6"/>
    <d v="2025-01-08T00:00:00"/>
    <x v="2"/>
    <x v="0"/>
    <x v="0"/>
    <x v="0"/>
    <x v="9"/>
    <x v="3"/>
    <x v="1"/>
    <x v="2"/>
  </r>
  <r>
    <s v="TX500165"/>
    <x v="6"/>
    <x v="2"/>
    <n v="40"/>
    <x v="160"/>
    <x v="6"/>
    <d v="2025-01-10T00:00:00"/>
    <x v="1"/>
    <x v="0"/>
    <x v="4"/>
    <x v="0"/>
    <x v="11"/>
    <x v="2"/>
    <x v="1"/>
    <x v="1"/>
  </r>
  <r>
    <s v="TX500166"/>
    <x v="17"/>
    <x v="8"/>
    <n v="38.5"/>
    <x v="161"/>
    <x v="6"/>
    <d v="2025-01-12T00:00:00"/>
    <x v="2"/>
    <x v="2"/>
    <x v="1"/>
    <x v="0"/>
    <x v="11"/>
    <x v="0"/>
    <x v="1"/>
    <x v="2"/>
  </r>
  <r>
    <s v="TX500167"/>
    <x v="2"/>
    <x v="1"/>
    <n v="86.4"/>
    <x v="162"/>
    <x v="6"/>
    <d v="2025-01-09T00:00:00"/>
    <x v="2"/>
    <x v="0"/>
    <x v="0"/>
    <x v="0"/>
    <x v="18"/>
    <x v="1"/>
    <x v="1"/>
    <x v="2"/>
  </r>
  <r>
    <s v="TX500168"/>
    <x v="10"/>
    <x v="0"/>
    <n v="50.7"/>
    <x v="163"/>
    <x v="6"/>
    <d v="2025-01-11T00:00:00"/>
    <x v="2"/>
    <x v="1"/>
    <x v="0"/>
    <x v="0"/>
    <x v="18"/>
    <x v="5"/>
    <x v="1"/>
    <x v="2"/>
  </r>
  <r>
    <s v="TX500169"/>
    <x v="10"/>
    <x v="1"/>
    <n v="61"/>
    <x v="164"/>
    <x v="6"/>
    <d v="2025-01-18T00:00:00"/>
    <x v="2"/>
    <x v="4"/>
    <x v="1"/>
    <x v="0"/>
    <x v="18"/>
    <x v="11"/>
    <x v="1"/>
    <x v="2"/>
  </r>
  <r>
    <s v="TX500170"/>
    <x v="4"/>
    <x v="1"/>
    <n v="19.899999999999999"/>
    <x v="165"/>
    <x v="6"/>
    <d v="2025-01-10T00:00:00"/>
    <x v="2"/>
    <x v="1"/>
    <x v="0"/>
    <x v="0"/>
    <x v="28"/>
    <x v="2"/>
    <x v="1"/>
    <x v="2"/>
  </r>
  <r>
    <s v="TX500171"/>
    <x v="5"/>
    <x v="0"/>
    <n v="78.3"/>
    <x v="166"/>
    <x v="6"/>
    <d v="2025-01-07T00:00:00"/>
    <x v="2"/>
    <x v="0"/>
    <x v="2"/>
    <x v="0"/>
    <x v="1"/>
    <x v="7"/>
    <x v="1"/>
    <x v="2"/>
  </r>
  <r>
    <s v="TX500172"/>
    <x v="0"/>
    <x v="10"/>
    <n v="10.4"/>
    <x v="167"/>
    <x v="6"/>
    <d v="2025-01-09T00:00:00"/>
    <x v="1"/>
    <x v="0"/>
    <x v="2"/>
    <x v="0"/>
    <x v="2"/>
    <x v="1"/>
    <x v="1"/>
    <x v="1"/>
  </r>
  <r>
    <s v="TX500173"/>
    <x v="10"/>
    <x v="0"/>
    <n v="36.1"/>
    <x v="168"/>
    <x v="6"/>
    <d v="2025-01-10T00:00:00"/>
    <x v="1"/>
    <x v="3"/>
    <x v="2"/>
    <x v="0"/>
    <x v="3"/>
    <x v="2"/>
    <x v="1"/>
    <x v="1"/>
  </r>
  <r>
    <s v="TX500174"/>
    <x v="14"/>
    <x v="1"/>
    <n v="17.3"/>
    <x v="169"/>
    <x v="6"/>
    <d v="2025-01-09T00:00:00"/>
    <x v="2"/>
    <x v="1"/>
    <x v="2"/>
    <x v="0"/>
    <x v="3"/>
    <x v="1"/>
    <x v="1"/>
    <x v="2"/>
  </r>
  <r>
    <s v="TX500175"/>
    <x v="10"/>
    <x v="1"/>
    <n v="30.5"/>
    <x v="170"/>
    <x v="6"/>
    <d v="2025-01-08T00:00:00"/>
    <x v="2"/>
    <x v="1"/>
    <x v="2"/>
    <x v="0"/>
    <x v="3"/>
    <x v="3"/>
    <x v="1"/>
    <x v="2"/>
  </r>
  <r>
    <s v="TX500176"/>
    <x v="18"/>
    <x v="22"/>
    <n v="70.099999999999994"/>
    <x v="171"/>
    <x v="6"/>
    <d v="2025-01-07T00:00:00"/>
    <x v="2"/>
    <x v="2"/>
    <x v="0"/>
    <x v="0"/>
    <x v="3"/>
    <x v="7"/>
    <x v="1"/>
    <x v="2"/>
  </r>
  <r>
    <s v="TX500177"/>
    <x v="3"/>
    <x v="0"/>
    <n v="76.099999999999994"/>
    <x v="172"/>
    <x v="6"/>
    <d v="2025-01-07T00:00:00"/>
    <x v="2"/>
    <x v="2"/>
    <x v="1"/>
    <x v="0"/>
    <x v="3"/>
    <x v="7"/>
    <x v="1"/>
    <x v="2"/>
  </r>
  <r>
    <s v="TX500178"/>
    <x v="15"/>
    <x v="15"/>
    <n v="34.200000000000003"/>
    <x v="173"/>
    <x v="6"/>
    <d v="2025-01-08T00:00:00"/>
    <x v="1"/>
    <x v="0"/>
    <x v="0"/>
    <x v="0"/>
    <x v="3"/>
    <x v="3"/>
    <x v="1"/>
    <x v="1"/>
  </r>
  <r>
    <s v="TX500179"/>
    <x v="8"/>
    <x v="9"/>
    <n v="30.3"/>
    <x v="174"/>
    <x v="6"/>
    <d v="2025-01-12T00:00:00"/>
    <x v="2"/>
    <x v="4"/>
    <x v="0"/>
    <x v="0"/>
    <x v="3"/>
    <x v="0"/>
    <x v="1"/>
    <x v="2"/>
  </r>
  <r>
    <s v="TX500180"/>
    <x v="6"/>
    <x v="9"/>
    <n v="52.5"/>
    <x v="175"/>
    <x v="6"/>
    <d v="2025-01-11T00:00:00"/>
    <x v="0"/>
    <x v="3"/>
    <x v="0"/>
    <x v="0"/>
    <x v="3"/>
    <x v="5"/>
    <x v="1"/>
    <x v="0"/>
  </r>
  <r>
    <s v="TX500181"/>
    <x v="9"/>
    <x v="5"/>
    <n v="28.7"/>
    <x v="176"/>
    <x v="6"/>
    <d v="2025-01-08T00:00:00"/>
    <x v="2"/>
    <x v="2"/>
    <x v="0"/>
    <x v="0"/>
    <x v="3"/>
    <x v="3"/>
    <x v="1"/>
    <x v="2"/>
  </r>
  <r>
    <s v="TX500182"/>
    <x v="7"/>
    <x v="3"/>
    <n v="52"/>
    <x v="177"/>
    <x v="6"/>
    <d v="2025-01-08T00:00:00"/>
    <x v="1"/>
    <x v="1"/>
    <x v="4"/>
    <x v="0"/>
    <x v="3"/>
    <x v="3"/>
    <x v="1"/>
    <x v="1"/>
  </r>
  <r>
    <s v="TX500183"/>
    <x v="0"/>
    <x v="0"/>
    <n v="13.3"/>
    <x v="178"/>
    <x v="7"/>
    <d v="2025-01-12T00:00:00"/>
    <x v="2"/>
    <x v="2"/>
    <x v="1"/>
    <x v="0"/>
    <x v="3"/>
    <x v="5"/>
    <x v="1"/>
    <x v="2"/>
  </r>
  <r>
    <s v="TX500184"/>
    <x v="0"/>
    <x v="2"/>
    <n v="15.7"/>
    <x v="179"/>
    <x v="7"/>
    <d v="2025-01-09T00:00:00"/>
    <x v="2"/>
    <x v="1"/>
    <x v="0"/>
    <x v="0"/>
    <x v="29"/>
    <x v="3"/>
    <x v="1"/>
    <x v="2"/>
  </r>
  <r>
    <s v="TX500185"/>
    <x v="8"/>
    <x v="1"/>
    <n v="25.6"/>
    <x v="180"/>
    <x v="7"/>
    <d v="2025-01-09T00:00:00"/>
    <x v="1"/>
    <x v="0"/>
    <x v="2"/>
    <x v="0"/>
    <x v="23"/>
    <x v="3"/>
    <x v="1"/>
    <x v="1"/>
  </r>
  <r>
    <s v="TX500186"/>
    <x v="8"/>
    <x v="0"/>
    <n v="43.4"/>
    <x v="181"/>
    <x v="7"/>
    <d v="2025-01-13T00:00:00"/>
    <x v="1"/>
    <x v="0"/>
    <x v="0"/>
    <x v="0"/>
    <x v="6"/>
    <x v="0"/>
    <x v="1"/>
    <x v="1"/>
  </r>
  <r>
    <s v="TX500187"/>
    <x v="11"/>
    <x v="11"/>
    <n v="33.4"/>
    <x v="182"/>
    <x v="7"/>
    <d v="2025-01-08T00:00:00"/>
    <x v="2"/>
    <x v="0"/>
    <x v="0"/>
    <x v="0"/>
    <x v="8"/>
    <x v="7"/>
    <x v="1"/>
    <x v="2"/>
  </r>
  <r>
    <s v="TX500188"/>
    <x v="8"/>
    <x v="10"/>
    <n v="55"/>
    <x v="183"/>
    <x v="7"/>
    <d v="2025-01-09T00:00:00"/>
    <x v="2"/>
    <x v="1"/>
    <x v="2"/>
    <x v="0"/>
    <x v="8"/>
    <x v="3"/>
    <x v="1"/>
    <x v="2"/>
  </r>
  <r>
    <s v="TX500189"/>
    <x v="8"/>
    <x v="2"/>
    <n v="23.6"/>
    <x v="184"/>
    <x v="7"/>
    <d v="2025-01-09T00:00:00"/>
    <x v="1"/>
    <x v="0"/>
    <x v="2"/>
    <x v="0"/>
    <x v="8"/>
    <x v="3"/>
    <x v="1"/>
    <x v="1"/>
  </r>
  <r>
    <s v="TX500190"/>
    <x v="12"/>
    <x v="11"/>
    <n v="104"/>
    <x v="185"/>
    <x v="7"/>
    <d v="2025-01-10T00:00:00"/>
    <x v="2"/>
    <x v="2"/>
    <x v="2"/>
    <x v="0"/>
    <x v="17"/>
    <x v="1"/>
    <x v="1"/>
    <x v="2"/>
  </r>
  <r>
    <s v="TX500191"/>
    <x v="6"/>
    <x v="1"/>
    <n v="51.8"/>
    <x v="186"/>
    <x v="7"/>
    <d v="2025-01-12T00:00:00"/>
    <x v="0"/>
    <x v="0"/>
    <x v="2"/>
    <x v="0"/>
    <x v="10"/>
    <x v="5"/>
    <x v="1"/>
    <x v="0"/>
  </r>
  <r>
    <s v="TX500192"/>
    <x v="10"/>
    <x v="9"/>
    <n v="34.5"/>
    <x v="187"/>
    <x v="7"/>
    <d v="2025-01-10T00:00:00"/>
    <x v="0"/>
    <x v="2"/>
    <x v="2"/>
    <x v="0"/>
    <x v="11"/>
    <x v="1"/>
    <x v="1"/>
    <x v="0"/>
  </r>
  <r>
    <s v="TX500193"/>
    <x v="6"/>
    <x v="1"/>
    <n v="51.8"/>
    <x v="186"/>
    <x v="7"/>
    <d v="2025-01-10T00:00:00"/>
    <x v="1"/>
    <x v="1"/>
    <x v="2"/>
    <x v="0"/>
    <x v="30"/>
    <x v="1"/>
    <x v="1"/>
    <x v="1"/>
  </r>
  <r>
    <s v="TX500194"/>
    <x v="18"/>
    <x v="23"/>
    <n v="131.5"/>
    <x v="188"/>
    <x v="7"/>
    <d v="2025-01-09T00:00:00"/>
    <x v="2"/>
    <x v="0"/>
    <x v="2"/>
    <x v="0"/>
    <x v="18"/>
    <x v="3"/>
    <x v="1"/>
    <x v="2"/>
  </r>
  <r>
    <s v="TX500195"/>
    <x v="8"/>
    <x v="3"/>
    <n v="47.8"/>
    <x v="189"/>
    <x v="7"/>
    <d v="2025-01-08T00:00:00"/>
    <x v="2"/>
    <x v="0"/>
    <x v="0"/>
    <x v="0"/>
    <x v="19"/>
    <x v="7"/>
    <x v="1"/>
    <x v="2"/>
  </r>
  <r>
    <s v="TX500196"/>
    <x v="0"/>
    <x v="1"/>
    <n v="10.199999999999999"/>
    <x v="190"/>
    <x v="7"/>
    <d v="2025-01-10T00:00:00"/>
    <x v="2"/>
    <x v="0"/>
    <x v="0"/>
    <x v="0"/>
    <x v="19"/>
    <x v="1"/>
    <x v="1"/>
    <x v="2"/>
  </r>
  <r>
    <s v="TX500197"/>
    <x v="8"/>
    <x v="8"/>
    <n v="41"/>
    <x v="191"/>
    <x v="7"/>
    <d v="2025-01-08T00:00:00"/>
    <x v="2"/>
    <x v="1"/>
    <x v="2"/>
    <x v="0"/>
    <x v="19"/>
    <x v="7"/>
    <x v="1"/>
    <x v="2"/>
  </r>
  <r>
    <s v="TX500198"/>
    <x v="10"/>
    <x v="3"/>
    <n v="50.8"/>
    <x v="192"/>
    <x v="7"/>
    <d v="2025-01-11T00:00:00"/>
    <x v="2"/>
    <x v="1"/>
    <x v="0"/>
    <x v="0"/>
    <x v="21"/>
    <x v="2"/>
    <x v="1"/>
    <x v="2"/>
  </r>
  <r>
    <s v="TX500199"/>
    <x v="18"/>
    <x v="2"/>
    <n v="39.6"/>
    <x v="193"/>
    <x v="7"/>
    <d v="2025-01-09T00:00:00"/>
    <x v="1"/>
    <x v="2"/>
    <x v="2"/>
    <x v="0"/>
    <x v="1"/>
    <x v="3"/>
    <x v="1"/>
    <x v="1"/>
  </r>
  <r>
    <s v="TX500200"/>
    <x v="5"/>
    <x v="1"/>
    <n v="69.5"/>
    <x v="194"/>
    <x v="7"/>
    <d v="2025-01-10T00:00:00"/>
    <x v="1"/>
    <x v="0"/>
    <x v="2"/>
    <x v="0"/>
    <x v="2"/>
    <x v="1"/>
    <x v="1"/>
    <x v="1"/>
  </r>
  <r>
    <s v="TX500201"/>
    <x v="8"/>
    <x v="8"/>
    <n v="32.6"/>
    <x v="195"/>
    <x v="7"/>
    <d v="2025-01-11T00:00:00"/>
    <x v="1"/>
    <x v="1"/>
    <x v="0"/>
    <x v="0"/>
    <x v="3"/>
    <x v="2"/>
    <x v="1"/>
    <x v="1"/>
  </r>
  <r>
    <s v="TX500202"/>
    <x v="7"/>
    <x v="1"/>
    <n v="49.1"/>
    <x v="196"/>
    <x v="7"/>
    <d v="2025-01-16T00:00:00"/>
    <x v="1"/>
    <x v="3"/>
    <x v="2"/>
    <x v="0"/>
    <x v="3"/>
    <x v="9"/>
    <x v="1"/>
    <x v="1"/>
  </r>
  <r>
    <s v="TX500203"/>
    <x v="6"/>
    <x v="1"/>
    <n v="49.4"/>
    <x v="197"/>
    <x v="8"/>
    <d v="2025-01-10T00:00:00"/>
    <x v="2"/>
    <x v="2"/>
    <x v="0"/>
    <x v="0"/>
    <x v="3"/>
    <x v="3"/>
    <x v="1"/>
    <x v="2"/>
  </r>
  <r>
    <s v="TX500204"/>
    <x v="7"/>
    <x v="3"/>
    <n v="65.099999999999994"/>
    <x v="198"/>
    <x v="8"/>
    <d v="2025-01-12T00:00:00"/>
    <x v="2"/>
    <x v="2"/>
    <x v="2"/>
    <x v="0"/>
    <x v="3"/>
    <x v="2"/>
    <x v="1"/>
    <x v="2"/>
  </r>
  <r>
    <s v="TX500205"/>
    <x v="3"/>
    <x v="1"/>
    <n v="52.1"/>
    <x v="199"/>
    <x v="8"/>
    <d v="2025-01-13T00:00:00"/>
    <x v="2"/>
    <x v="2"/>
    <x v="0"/>
    <x v="0"/>
    <x v="3"/>
    <x v="5"/>
    <x v="1"/>
    <x v="2"/>
  </r>
  <r>
    <s v="TX500206"/>
    <x v="2"/>
    <x v="12"/>
    <n v="129.19999999999999"/>
    <x v="200"/>
    <x v="8"/>
    <d v="2025-01-10T00:00:00"/>
    <x v="2"/>
    <x v="1"/>
    <x v="0"/>
    <x v="0"/>
    <x v="3"/>
    <x v="3"/>
    <x v="1"/>
    <x v="2"/>
  </r>
  <r>
    <s v="TX500207"/>
    <x v="1"/>
    <x v="10"/>
    <n v="81.8"/>
    <x v="201"/>
    <x v="8"/>
    <d v="2025-01-09T00:00:00"/>
    <x v="2"/>
    <x v="1"/>
    <x v="1"/>
    <x v="0"/>
    <x v="3"/>
    <x v="7"/>
    <x v="1"/>
    <x v="2"/>
  </r>
  <r>
    <s v="TX500208"/>
    <x v="17"/>
    <x v="0"/>
    <n v="24.9"/>
    <x v="202"/>
    <x v="8"/>
    <d v="2025-01-13T00:00:00"/>
    <x v="2"/>
    <x v="1"/>
    <x v="0"/>
    <x v="0"/>
    <x v="3"/>
    <x v="5"/>
    <x v="1"/>
    <x v="2"/>
  </r>
  <r>
    <s v="TX500209"/>
    <x v="0"/>
    <x v="2"/>
    <n v="49.4"/>
    <x v="203"/>
    <x v="8"/>
    <d v="2025-01-12T00:00:00"/>
    <x v="2"/>
    <x v="4"/>
    <x v="4"/>
    <x v="0"/>
    <x v="3"/>
    <x v="2"/>
    <x v="1"/>
    <x v="2"/>
  </r>
  <r>
    <s v="TX500210"/>
    <x v="8"/>
    <x v="1"/>
    <n v="22.7"/>
    <x v="204"/>
    <x v="8"/>
    <d v="2025-01-10T00:00:00"/>
    <x v="1"/>
    <x v="3"/>
    <x v="2"/>
    <x v="0"/>
    <x v="3"/>
    <x v="3"/>
    <x v="1"/>
    <x v="1"/>
  </r>
  <r>
    <s v="TX500211"/>
    <x v="1"/>
    <x v="0"/>
    <n v="77.3"/>
    <x v="83"/>
    <x v="8"/>
    <d v="2025-01-09T00:00:00"/>
    <x v="2"/>
    <x v="0"/>
    <x v="2"/>
    <x v="0"/>
    <x v="6"/>
    <x v="7"/>
    <x v="1"/>
    <x v="2"/>
  </r>
  <r>
    <s v="TX500212"/>
    <x v="1"/>
    <x v="9"/>
    <n v="109.1"/>
    <x v="205"/>
    <x v="8"/>
    <d v="2025-01-12T00:00:00"/>
    <x v="2"/>
    <x v="0"/>
    <x v="0"/>
    <x v="0"/>
    <x v="6"/>
    <x v="2"/>
    <x v="1"/>
    <x v="2"/>
  </r>
  <r>
    <s v="TX500213"/>
    <x v="2"/>
    <x v="12"/>
    <n v="53.9"/>
    <x v="206"/>
    <x v="8"/>
    <d v="2025-01-10T00:00:00"/>
    <x v="1"/>
    <x v="0"/>
    <x v="1"/>
    <x v="0"/>
    <x v="8"/>
    <x v="3"/>
    <x v="1"/>
    <x v="1"/>
  </r>
  <r>
    <s v="TX500214"/>
    <x v="9"/>
    <x v="18"/>
    <n v="21.2"/>
    <x v="207"/>
    <x v="8"/>
    <d v="2025-01-09T00:00:00"/>
    <x v="2"/>
    <x v="0"/>
    <x v="0"/>
    <x v="0"/>
    <x v="9"/>
    <x v="7"/>
    <x v="1"/>
    <x v="2"/>
  </r>
  <r>
    <s v="TX500215"/>
    <x v="16"/>
    <x v="12"/>
    <n v="69"/>
    <x v="208"/>
    <x v="8"/>
    <d v="2025-01-11T00:00:00"/>
    <x v="2"/>
    <x v="1"/>
    <x v="1"/>
    <x v="0"/>
    <x v="18"/>
    <x v="1"/>
    <x v="1"/>
    <x v="2"/>
  </r>
  <r>
    <s v="TX500216"/>
    <x v="6"/>
    <x v="2"/>
    <n v="46.2"/>
    <x v="209"/>
    <x v="8"/>
    <d v="2025-01-11T00:00:00"/>
    <x v="2"/>
    <x v="0"/>
    <x v="2"/>
    <x v="0"/>
    <x v="31"/>
    <x v="1"/>
    <x v="1"/>
    <x v="2"/>
  </r>
  <r>
    <s v="TX500217"/>
    <x v="1"/>
    <x v="9"/>
    <n v="97.4"/>
    <x v="210"/>
    <x v="8"/>
    <d v="2025-01-13T00:00:00"/>
    <x v="2"/>
    <x v="4"/>
    <x v="2"/>
    <x v="0"/>
    <x v="21"/>
    <x v="5"/>
    <x v="1"/>
    <x v="2"/>
  </r>
  <r>
    <s v="TX500218"/>
    <x v="8"/>
    <x v="9"/>
    <n v="21"/>
    <x v="211"/>
    <x v="8"/>
    <d v="2025-01-10T00:00:00"/>
    <x v="1"/>
    <x v="0"/>
    <x v="1"/>
    <x v="0"/>
    <x v="21"/>
    <x v="3"/>
    <x v="1"/>
    <x v="1"/>
  </r>
  <r>
    <s v="TX500219"/>
    <x v="5"/>
    <x v="1"/>
    <n v="32.700000000000003"/>
    <x v="212"/>
    <x v="9"/>
    <d v="2025-01-13T00:00:00"/>
    <x v="2"/>
    <x v="1"/>
    <x v="0"/>
    <x v="0"/>
    <x v="2"/>
    <x v="2"/>
    <x v="1"/>
    <x v="2"/>
  </r>
  <r>
    <s v="TX500220"/>
    <x v="6"/>
    <x v="12"/>
    <n v="48"/>
    <x v="213"/>
    <x v="9"/>
    <d v="2025-01-11T00:00:00"/>
    <x v="1"/>
    <x v="3"/>
    <x v="0"/>
    <x v="0"/>
    <x v="3"/>
    <x v="3"/>
    <x v="1"/>
    <x v="1"/>
  </r>
  <r>
    <s v="TX500221"/>
    <x v="6"/>
    <x v="2"/>
    <n v="68.2"/>
    <x v="214"/>
    <x v="9"/>
    <d v="2025-01-14T00:00:00"/>
    <x v="0"/>
    <x v="0"/>
    <x v="2"/>
    <x v="0"/>
    <x v="3"/>
    <x v="5"/>
    <x v="1"/>
    <x v="0"/>
  </r>
  <r>
    <s v="TX500222"/>
    <x v="5"/>
    <x v="0"/>
    <n v="45.4"/>
    <x v="204"/>
    <x v="9"/>
    <d v="2025-01-12T00:00:00"/>
    <x v="1"/>
    <x v="1"/>
    <x v="0"/>
    <x v="0"/>
    <x v="3"/>
    <x v="1"/>
    <x v="1"/>
    <x v="1"/>
  </r>
  <r>
    <s v="TX500223"/>
    <x v="12"/>
    <x v="1"/>
    <n v="53.9"/>
    <x v="215"/>
    <x v="9"/>
    <d v="2025-01-11T00:00:00"/>
    <x v="2"/>
    <x v="2"/>
    <x v="0"/>
    <x v="0"/>
    <x v="3"/>
    <x v="3"/>
    <x v="1"/>
    <x v="2"/>
  </r>
  <r>
    <s v="TX500224"/>
    <x v="2"/>
    <x v="12"/>
    <n v="62.1"/>
    <x v="216"/>
    <x v="9"/>
    <d v="2025-01-14T00:00:00"/>
    <x v="2"/>
    <x v="0"/>
    <x v="0"/>
    <x v="0"/>
    <x v="4"/>
    <x v="5"/>
    <x v="1"/>
    <x v="2"/>
  </r>
  <r>
    <s v="TX500225"/>
    <x v="13"/>
    <x v="3"/>
    <n v="33.1"/>
    <x v="217"/>
    <x v="9"/>
    <d v="2025-01-15T00:00:00"/>
    <x v="1"/>
    <x v="1"/>
    <x v="0"/>
    <x v="0"/>
    <x v="6"/>
    <x v="0"/>
    <x v="1"/>
    <x v="1"/>
  </r>
  <r>
    <s v="TX500226"/>
    <x v="18"/>
    <x v="9"/>
    <n v="35.200000000000003"/>
    <x v="218"/>
    <x v="9"/>
    <d v="2025-01-10T00:00:00"/>
    <x v="2"/>
    <x v="1"/>
    <x v="0"/>
    <x v="0"/>
    <x v="6"/>
    <x v="7"/>
    <x v="1"/>
    <x v="2"/>
  </r>
  <r>
    <s v="TX500227"/>
    <x v="9"/>
    <x v="2"/>
    <n v="32.1"/>
    <x v="219"/>
    <x v="9"/>
    <d v="2025-01-15T00:00:00"/>
    <x v="1"/>
    <x v="3"/>
    <x v="0"/>
    <x v="0"/>
    <x v="8"/>
    <x v="0"/>
    <x v="1"/>
    <x v="1"/>
  </r>
  <r>
    <s v="TX500228"/>
    <x v="11"/>
    <x v="0"/>
    <n v="38.1"/>
    <x v="220"/>
    <x v="9"/>
    <d v="2025-01-15T00:00:00"/>
    <x v="2"/>
    <x v="0"/>
    <x v="2"/>
    <x v="0"/>
    <x v="8"/>
    <x v="0"/>
    <x v="1"/>
    <x v="2"/>
  </r>
  <r>
    <s v="TX500229"/>
    <x v="8"/>
    <x v="0"/>
    <n v="65.2"/>
    <x v="221"/>
    <x v="9"/>
    <d v="2025-01-15T00:00:00"/>
    <x v="2"/>
    <x v="3"/>
    <x v="1"/>
    <x v="0"/>
    <x v="8"/>
    <x v="0"/>
    <x v="1"/>
    <x v="2"/>
  </r>
  <r>
    <s v="TX500230"/>
    <x v="10"/>
    <x v="3"/>
    <n v="55.2"/>
    <x v="222"/>
    <x v="9"/>
    <d v="2025-01-11T00:00:00"/>
    <x v="1"/>
    <x v="2"/>
    <x v="0"/>
    <x v="0"/>
    <x v="11"/>
    <x v="3"/>
    <x v="1"/>
    <x v="1"/>
  </r>
  <r>
    <s v="TX500231"/>
    <x v="6"/>
    <x v="0"/>
    <n v="62"/>
    <x v="85"/>
    <x v="9"/>
    <d v="2025-01-14T00:00:00"/>
    <x v="2"/>
    <x v="0"/>
    <x v="0"/>
    <x v="0"/>
    <x v="11"/>
    <x v="5"/>
    <x v="1"/>
    <x v="2"/>
  </r>
  <r>
    <s v="TX500232"/>
    <x v="7"/>
    <x v="2"/>
    <n v="45.9"/>
    <x v="223"/>
    <x v="9"/>
    <d v="2025-01-11T00:00:00"/>
    <x v="2"/>
    <x v="2"/>
    <x v="0"/>
    <x v="0"/>
    <x v="32"/>
    <x v="3"/>
    <x v="1"/>
    <x v="2"/>
  </r>
  <r>
    <s v="TX500233"/>
    <x v="18"/>
    <x v="2"/>
    <n v="58.3"/>
    <x v="224"/>
    <x v="9"/>
    <d v="2025-01-10T00:00:00"/>
    <x v="1"/>
    <x v="1"/>
    <x v="1"/>
    <x v="0"/>
    <x v="18"/>
    <x v="7"/>
    <x v="1"/>
    <x v="1"/>
  </r>
  <r>
    <s v="TX500234"/>
    <x v="8"/>
    <x v="1"/>
    <n v="22.3"/>
    <x v="225"/>
    <x v="9"/>
    <d v="2025-01-13T00:00:00"/>
    <x v="2"/>
    <x v="0"/>
    <x v="2"/>
    <x v="0"/>
    <x v="20"/>
    <x v="2"/>
    <x v="1"/>
    <x v="2"/>
  </r>
  <r>
    <s v="TX500235"/>
    <x v="19"/>
    <x v="9"/>
    <n v="24"/>
    <x v="160"/>
    <x v="9"/>
    <d v="2025-01-11T00:00:00"/>
    <x v="1"/>
    <x v="4"/>
    <x v="0"/>
    <x v="0"/>
    <x v="1"/>
    <x v="3"/>
    <x v="1"/>
    <x v="1"/>
  </r>
  <r>
    <s v="TX500236"/>
    <x v="0"/>
    <x v="7"/>
    <n v="21.3"/>
    <x v="226"/>
    <x v="9"/>
    <d v="2025-01-10T00:00:00"/>
    <x v="2"/>
    <x v="1"/>
    <x v="2"/>
    <x v="0"/>
    <x v="22"/>
    <x v="7"/>
    <x v="1"/>
    <x v="2"/>
  </r>
  <r>
    <s v="TX500237"/>
    <x v="6"/>
    <x v="24"/>
    <n v="57.8"/>
    <x v="227"/>
    <x v="9"/>
    <d v="2025-01-12T00:00:00"/>
    <x v="2"/>
    <x v="0"/>
    <x v="2"/>
    <x v="0"/>
    <x v="3"/>
    <x v="1"/>
    <x v="1"/>
    <x v="2"/>
  </r>
  <r>
    <s v="TX500238"/>
    <x v="10"/>
    <x v="2"/>
    <n v="67.599999999999994"/>
    <x v="228"/>
    <x v="9"/>
    <d v="2025-01-11T00:00:00"/>
    <x v="2"/>
    <x v="0"/>
    <x v="0"/>
    <x v="0"/>
    <x v="3"/>
    <x v="3"/>
    <x v="1"/>
    <x v="2"/>
  </r>
  <r>
    <s v="TX500239"/>
    <x v="6"/>
    <x v="13"/>
    <n v="66.7"/>
    <x v="229"/>
    <x v="9"/>
    <d v="2025-01-14T00:00:00"/>
    <x v="1"/>
    <x v="4"/>
    <x v="1"/>
    <x v="0"/>
    <x v="3"/>
    <x v="5"/>
    <x v="1"/>
    <x v="1"/>
  </r>
  <r>
    <s v="TX500240"/>
    <x v="1"/>
    <x v="12"/>
    <n v="53.1"/>
    <x v="230"/>
    <x v="9"/>
    <d v="2025-01-12T00:00:00"/>
    <x v="2"/>
    <x v="1"/>
    <x v="0"/>
    <x v="0"/>
    <x v="3"/>
    <x v="1"/>
    <x v="1"/>
    <x v="2"/>
  </r>
  <r>
    <s v="TX500241"/>
    <x v="12"/>
    <x v="2"/>
    <n v="57.4"/>
    <x v="231"/>
    <x v="9"/>
    <d v="2025-01-13T00:00:00"/>
    <x v="2"/>
    <x v="0"/>
    <x v="2"/>
    <x v="0"/>
    <x v="29"/>
    <x v="2"/>
    <x v="1"/>
    <x v="2"/>
  </r>
  <r>
    <s v="TX500242"/>
    <x v="2"/>
    <x v="9"/>
    <n v="58.1"/>
    <x v="232"/>
    <x v="9"/>
    <d v="2025-01-10T00:00:00"/>
    <x v="1"/>
    <x v="2"/>
    <x v="2"/>
    <x v="0"/>
    <x v="6"/>
    <x v="7"/>
    <x v="1"/>
    <x v="1"/>
  </r>
  <r>
    <s v="TX500243"/>
    <x v="5"/>
    <x v="2"/>
    <n v="31.8"/>
    <x v="233"/>
    <x v="10"/>
    <d v="2025-01-13T00:00:00"/>
    <x v="1"/>
    <x v="3"/>
    <x v="0"/>
    <x v="0"/>
    <x v="6"/>
    <x v="1"/>
    <x v="1"/>
    <x v="1"/>
  </r>
  <r>
    <s v="TX500244"/>
    <x v="4"/>
    <x v="2"/>
    <n v="31.5"/>
    <x v="234"/>
    <x v="10"/>
    <d v="2025-01-14T00:00:00"/>
    <x v="1"/>
    <x v="0"/>
    <x v="1"/>
    <x v="0"/>
    <x v="8"/>
    <x v="2"/>
    <x v="1"/>
    <x v="1"/>
  </r>
  <r>
    <s v="TX500245"/>
    <x v="6"/>
    <x v="3"/>
    <n v="55.9"/>
    <x v="235"/>
    <x v="10"/>
    <d v="2025-01-15T00:00:00"/>
    <x v="2"/>
    <x v="1"/>
    <x v="2"/>
    <x v="0"/>
    <x v="8"/>
    <x v="5"/>
    <x v="1"/>
    <x v="2"/>
  </r>
  <r>
    <s v="TX500246"/>
    <x v="8"/>
    <x v="1"/>
    <n v="36.4"/>
    <x v="236"/>
    <x v="10"/>
    <d v="2025-01-12T00:00:00"/>
    <x v="1"/>
    <x v="1"/>
    <x v="1"/>
    <x v="0"/>
    <x v="9"/>
    <x v="3"/>
    <x v="1"/>
    <x v="1"/>
  </r>
  <r>
    <s v="TX500247"/>
    <x v="1"/>
    <x v="9"/>
    <n v="47.3"/>
    <x v="237"/>
    <x v="10"/>
    <d v="2025-01-14T00:00:00"/>
    <x v="1"/>
    <x v="2"/>
    <x v="0"/>
    <x v="0"/>
    <x v="10"/>
    <x v="2"/>
    <x v="1"/>
    <x v="1"/>
  </r>
  <r>
    <s v="TX500248"/>
    <x v="6"/>
    <x v="2"/>
    <n v="82.5"/>
    <x v="238"/>
    <x v="10"/>
    <d v="2025-01-12T00:00:00"/>
    <x v="1"/>
    <x v="0"/>
    <x v="0"/>
    <x v="0"/>
    <x v="11"/>
    <x v="3"/>
    <x v="1"/>
    <x v="1"/>
  </r>
  <r>
    <s v="TX500249"/>
    <x v="0"/>
    <x v="0"/>
    <n v="14.3"/>
    <x v="239"/>
    <x v="10"/>
    <d v="2025-01-12T00:00:00"/>
    <x v="2"/>
    <x v="0"/>
    <x v="0"/>
    <x v="0"/>
    <x v="21"/>
    <x v="3"/>
    <x v="1"/>
    <x v="2"/>
  </r>
  <r>
    <s v="TX500250"/>
    <x v="2"/>
    <x v="13"/>
    <n v="57.6"/>
    <x v="240"/>
    <x v="10"/>
    <d v="2025-01-25T00:00:00"/>
    <x v="2"/>
    <x v="0"/>
    <x v="0"/>
    <x v="0"/>
    <x v="21"/>
    <x v="12"/>
    <x v="1"/>
    <x v="2"/>
  </r>
  <r>
    <s v="TX500251"/>
    <x v="2"/>
    <x v="2"/>
    <n v="142.4"/>
    <x v="241"/>
    <x v="10"/>
    <d v="2025-01-13T00:00:00"/>
    <x v="1"/>
    <x v="4"/>
    <x v="1"/>
    <x v="0"/>
    <x v="21"/>
    <x v="1"/>
    <x v="1"/>
    <x v="1"/>
  </r>
  <r>
    <s v="TX500252"/>
    <x v="12"/>
    <x v="0"/>
    <n v="30.2"/>
    <x v="242"/>
    <x v="10"/>
    <d v="2025-01-15T00:00:00"/>
    <x v="1"/>
    <x v="1"/>
    <x v="2"/>
    <x v="0"/>
    <x v="2"/>
    <x v="5"/>
    <x v="1"/>
    <x v="1"/>
  </r>
  <r>
    <s v="TX500253"/>
    <x v="18"/>
    <x v="2"/>
    <n v="65.3"/>
    <x v="243"/>
    <x v="10"/>
    <d v="2025-01-12T00:00:00"/>
    <x v="3"/>
    <x v="1"/>
    <x v="0"/>
    <x v="0"/>
    <x v="33"/>
    <x v="3"/>
    <x v="1"/>
    <x v="3"/>
  </r>
  <r>
    <s v="TX500254"/>
    <x v="0"/>
    <x v="1"/>
    <n v="33.4"/>
    <x v="119"/>
    <x v="10"/>
    <d v="2025-01-12T00:00:00"/>
    <x v="1"/>
    <x v="1"/>
    <x v="1"/>
    <x v="0"/>
    <x v="22"/>
    <x v="3"/>
    <x v="1"/>
    <x v="1"/>
  </r>
  <r>
    <s v="TX500255"/>
    <x v="7"/>
    <x v="1"/>
    <n v="45.1"/>
    <x v="244"/>
    <x v="10"/>
    <d v="2025-01-19T00:00:00"/>
    <x v="1"/>
    <x v="0"/>
    <x v="0"/>
    <x v="0"/>
    <x v="34"/>
    <x v="9"/>
    <x v="1"/>
    <x v="1"/>
  </r>
  <r>
    <s v="TX500256"/>
    <x v="2"/>
    <x v="3"/>
    <n v="61.7"/>
    <x v="245"/>
    <x v="10"/>
    <d v="2025-01-13T00:00:00"/>
    <x v="2"/>
    <x v="4"/>
    <x v="0"/>
    <x v="0"/>
    <x v="3"/>
    <x v="1"/>
    <x v="1"/>
    <x v="2"/>
  </r>
  <r>
    <s v="TX500257"/>
    <x v="9"/>
    <x v="2"/>
    <n v="45.1"/>
    <x v="246"/>
    <x v="11"/>
    <d v="2025-01-13T00:00:00"/>
    <x v="1"/>
    <x v="4"/>
    <x v="1"/>
    <x v="0"/>
    <x v="3"/>
    <x v="3"/>
    <x v="2"/>
    <x v="1"/>
  </r>
  <r>
    <s v="TX500258"/>
    <x v="15"/>
    <x v="9"/>
    <n v="22.7"/>
    <x v="247"/>
    <x v="11"/>
    <d v="2025-01-17T00:00:00"/>
    <x v="1"/>
    <x v="0"/>
    <x v="2"/>
    <x v="0"/>
    <x v="35"/>
    <x v="0"/>
    <x v="2"/>
    <x v="1"/>
  </r>
  <r>
    <s v="TX500259"/>
    <x v="8"/>
    <x v="0"/>
    <n v="17.600000000000001"/>
    <x v="248"/>
    <x v="11"/>
    <d v="2025-01-13T00:00:00"/>
    <x v="2"/>
    <x v="0"/>
    <x v="2"/>
    <x v="0"/>
    <x v="23"/>
    <x v="3"/>
    <x v="2"/>
    <x v="2"/>
  </r>
  <r>
    <s v="TX500260"/>
    <x v="14"/>
    <x v="1"/>
    <n v="11.3"/>
    <x v="249"/>
    <x v="11"/>
    <d v="2025-01-15T00:00:00"/>
    <x v="2"/>
    <x v="3"/>
    <x v="2"/>
    <x v="0"/>
    <x v="23"/>
    <x v="2"/>
    <x v="2"/>
    <x v="2"/>
  </r>
  <r>
    <s v="TX500261"/>
    <x v="6"/>
    <x v="2"/>
    <n v="53.4"/>
    <x v="250"/>
    <x v="11"/>
    <d v="2025-01-15T00:00:00"/>
    <x v="1"/>
    <x v="3"/>
    <x v="2"/>
    <x v="0"/>
    <x v="36"/>
    <x v="2"/>
    <x v="2"/>
    <x v="1"/>
  </r>
  <r>
    <s v="TX500262"/>
    <x v="6"/>
    <x v="5"/>
    <n v="51.1"/>
    <x v="251"/>
    <x v="11"/>
    <d v="2025-01-14T00:00:00"/>
    <x v="2"/>
    <x v="2"/>
    <x v="2"/>
    <x v="0"/>
    <x v="8"/>
    <x v="1"/>
    <x v="2"/>
    <x v="2"/>
  </r>
  <r>
    <s v="TX500263"/>
    <x v="8"/>
    <x v="1"/>
    <n v="27.5"/>
    <x v="252"/>
    <x v="11"/>
    <d v="2025-01-13T00:00:00"/>
    <x v="1"/>
    <x v="4"/>
    <x v="1"/>
    <x v="0"/>
    <x v="8"/>
    <x v="3"/>
    <x v="2"/>
    <x v="1"/>
  </r>
  <r>
    <s v="TX500264"/>
    <x v="9"/>
    <x v="0"/>
    <n v="33.5"/>
    <x v="253"/>
    <x v="11"/>
    <d v="2025-01-14T00:00:00"/>
    <x v="2"/>
    <x v="0"/>
    <x v="4"/>
    <x v="0"/>
    <x v="8"/>
    <x v="1"/>
    <x v="2"/>
    <x v="2"/>
  </r>
  <r>
    <s v="TX500265"/>
    <x v="4"/>
    <x v="0"/>
    <n v="59.5"/>
    <x v="254"/>
    <x v="11"/>
    <d v="2025-01-12T00:00:00"/>
    <x v="1"/>
    <x v="0"/>
    <x v="2"/>
    <x v="0"/>
    <x v="18"/>
    <x v="7"/>
    <x v="2"/>
    <x v="1"/>
  </r>
  <r>
    <s v="TX500266"/>
    <x v="17"/>
    <x v="12"/>
    <n v="23.5"/>
    <x v="255"/>
    <x v="11"/>
    <d v="2025-01-13T00:00:00"/>
    <x v="2"/>
    <x v="3"/>
    <x v="3"/>
    <x v="0"/>
    <x v="19"/>
    <x v="3"/>
    <x v="2"/>
    <x v="2"/>
  </r>
  <r>
    <s v="TX500267"/>
    <x v="6"/>
    <x v="0"/>
    <n v="49.7"/>
    <x v="256"/>
    <x v="11"/>
    <d v="2025-01-13T00:00:00"/>
    <x v="0"/>
    <x v="1"/>
    <x v="2"/>
    <x v="0"/>
    <x v="20"/>
    <x v="3"/>
    <x v="2"/>
    <x v="0"/>
  </r>
  <r>
    <s v="TX500268"/>
    <x v="6"/>
    <x v="12"/>
    <n v="44.2"/>
    <x v="257"/>
    <x v="11"/>
    <d v="2025-01-15T00:00:00"/>
    <x v="2"/>
    <x v="0"/>
    <x v="2"/>
    <x v="0"/>
    <x v="21"/>
    <x v="2"/>
    <x v="2"/>
    <x v="2"/>
  </r>
  <r>
    <s v="TX500269"/>
    <x v="8"/>
    <x v="0"/>
    <n v="22.1"/>
    <x v="258"/>
    <x v="11"/>
    <d v="2025-01-16T00:00:00"/>
    <x v="2"/>
    <x v="1"/>
    <x v="1"/>
    <x v="0"/>
    <x v="33"/>
    <x v="5"/>
    <x v="2"/>
    <x v="2"/>
  </r>
  <r>
    <s v="TX500270"/>
    <x v="6"/>
    <x v="2"/>
    <n v="90.9"/>
    <x v="259"/>
    <x v="11"/>
    <d v="2025-01-13T00:00:00"/>
    <x v="2"/>
    <x v="2"/>
    <x v="4"/>
    <x v="0"/>
    <x v="3"/>
    <x v="3"/>
    <x v="2"/>
    <x v="2"/>
  </r>
  <r>
    <s v="TX500271"/>
    <x v="8"/>
    <x v="2"/>
    <n v="44.5"/>
    <x v="260"/>
    <x v="11"/>
    <d v="2025-01-13T00:00:00"/>
    <x v="2"/>
    <x v="1"/>
    <x v="0"/>
    <x v="0"/>
    <x v="3"/>
    <x v="3"/>
    <x v="2"/>
    <x v="2"/>
  </r>
  <r>
    <s v="TX500272"/>
    <x v="9"/>
    <x v="13"/>
    <n v="32.299999999999997"/>
    <x v="261"/>
    <x v="11"/>
    <d v="2025-01-16T00:00:00"/>
    <x v="2"/>
    <x v="0"/>
    <x v="0"/>
    <x v="0"/>
    <x v="3"/>
    <x v="5"/>
    <x v="2"/>
    <x v="2"/>
  </r>
  <r>
    <s v="TX500273"/>
    <x v="17"/>
    <x v="2"/>
    <n v="87.5"/>
    <x v="175"/>
    <x v="11"/>
    <d v="2025-01-13T00:00:00"/>
    <x v="2"/>
    <x v="1"/>
    <x v="1"/>
    <x v="0"/>
    <x v="3"/>
    <x v="3"/>
    <x v="2"/>
    <x v="2"/>
  </r>
  <r>
    <s v="TX500274"/>
    <x v="16"/>
    <x v="9"/>
    <n v="48.7"/>
    <x v="262"/>
    <x v="11"/>
    <d v="2025-01-13T00:00:00"/>
    <x v="1"/>
    <x v="2"/>
    <x v="0"/>
    <x v="0"/>
    <x v="3"/>
    <x v="3"/>
    <x v="2"/>
    <x v="1"/>
  </r>
  <r>
    <s v="TX500275"/>
    <x v="0"/>
    <x v="9"/>
    <n v="22.5"/>
    <x v="158"/>
    <x v="11"/>
    <d v="2025-01-13T00:00:00"/>
    <x v="1"/>
    <x v="0"/>
    <x v="0"/>
    <x v="0"/>
    <x v="3"/>
    <x v="3"/>
    <x v="2"/>
    <x v="1"/>
  </r>
  <r>
    <s v="TX500276"/>
    <x v="1"/>
    <x v="8"/>
    <n v="65.900000000000006"/>
    <x v="263"/>
    <x v="11"/>
    <d v="2025-01-15T00:00:00"/>
    <x v="2"/>
    <x v="1"/>
    <x v="2"/>
    <x v="0"/>
    <x v="3"/>
    <x v="2"/>
    <x v="2"/>
    <x v="2"/>
  </r>
  <r>
    <s v="TX500277"/>
    <x v="6"/>
    <x v="9"/>
    <n v="41.9"/>
    <x v="264"/>
    <x v="11"/>
    <d v="2025-01-19T00:00:00"/>
    <x v="0"/>
    <x v="0"/>
    <x v="0"/>
    <x v="0"/>
    <x v="3"/>
    <x v="6"/>
    <x v="2"/>
    <x v="0"/>
  </r>
  <r>
    <s v="TX500278"/>
    <x v="1"/>
    <x v="9"/>
    <n v="67.5"/>
    <x v="265"/>
    <x v="11"/>
    <d v="2025-01-13T00:00:00"/>
    <x v="2"/>
    <x v="0"/>
    <x v="2"/>
    <x v="0"/>
    <x v="3"/>
    <x v="3"/>
    <x v="2"/>
    <x v="2"/>
  </r>
  <r>
    <s v="TX500279"/>
    <x v="9"/>
    <x v="0"/>
    <n v="60.4"/>
    <x v="266"/>
    <x v="12"/>
    <d v="2025-01-15T00:00:00"/>
    <x v="2"/>
    <x v="1"/>
    <x v="1"/>
    <x v="0"/>
    <x v="3"/>
    <x v="1"/>
    <x v="2"/>
    <x v="2"/>
  </r>
  <r>
    <s v="TX500280"/>
    <x v="1"/>
    <x v="3"/>
    <n v="30.4"/>
    <x v="267"/>
    <x v="12"/>
    <d v="2025-01-16T00:00:00"/>
    <x v="2"/>
    <x v="4"/>
    <x v="0"/>
    <x v="0"/>
    <x v="3"/>
    <x v="2"/>
    <x v="2"/>
    <x v="2"/>
  </r>
  <r>
    <s v="TX500281"/>
    <x v="14"/>
    <x v="1"/>
    <n v="24.5"/>
    <x v="268"/>
    <x v="12"/>
    <d v="2025-01-14T00:00:00"/>
    <x v="1"/>
    <x v="3"/>
    <x v="2"/>
    <x v="0"/>
    <x v="3"/>
    <x v="3"/>
    <x v="2"/>
    <x v="1"/>
  </r>
  <r>
    <s v="TX500282"/>
    <x v="2"/>
    <x v="2"/>
    <n v="105.9"/>
    <x v="269"/>
    <x v="12"/>
    <d v="2025-01-18T00:00:00"/>
    <x v="1"/>
    <x v="0"/>
    <x v="0"/>
    <x v="0"/>
    <x v="37"/>
    <x v="0"/>
    <x v="2"/>
    <x v="1"/>
  </r>
  <r>
    <s v="TX500283"/>
    <x v="10"/>
    <x v="25"/>
    <n v="25.9"/>
    <x v="270"/>
    <x v="12"/>
    <d v="2025-01-14T00:00:00"/>
    <x v="2"/>
    <x v="4"/>
    <x v="0"/>
    <x v="0"/>
    <x v="23"/>
    <x v="3"/>
    <x v="2"/>
    <x v="2"/>
  </r>
  <r>
    <s v="TX500284"/>
    <x v="6"/>
    <x v="2"/>
    <n v="66.8"/>
    <x v="271"/>
    <x v="12"/>
    <d v="2025-01-13T00:00:00"/>
    <x v="1"/>
    <x v="0"/>
    <x v="0"/>
    <x v="0"/>
    <x v="23"/>
    <x v="7"/>
    <x v="2"/>
    <x v="1"/>
  </r>
  <r>
    <s v="TX500285"/>
    <x v="6"/>
    <x v="2"/>
    <n v="112.3"/>
    <x v="272"/>
    <x v="12"/>
    <d v="2025-01-14T00:00:00"/>
    <x v="1"/>
    <x v="2"/>
    <x v="4"/>
    <x v="0"/>
    <x v="6"/>
    <x v="3"/>
    <x v="2"/>
    <x v="1"/>
  </r>
  <r>
    <s v="TX500286"/>
    <x v="1"/>
    <x v="13"/>
    <n v="94.1"/>
    <x v="273"/>
    <x v="12"/>
    <d v="2025-01-14T00:00:00"/>
    <x v="2"/>
    <x v="0"/>
    <x v="4"/>
    <x v="0"/>
    <x v="6"/>
    <x v="3"/>
    <x v="2"/>
    <x v="2"/>
  </r>
  <r>
    <s v="TX500287"/>
    <x v="5"/>
    <x v="0"/>
    <n v="40.700000000000003"/>
    <x v="274"/>
    <x v="12"/>
    <d v="2025-01-16T00:00:00"/>
    <x v="2"/>
    <x v="2"/>
    <x v="0"/>
    <x v="0"/>
    <x v="6"/>
    <x v="2"/>
    <x v="2"/>
    <x v="2"/>
  </r>
  <r>
    <s v="TX500288"/>
    <x v="3"/>
    <x v="1"/>
    <n v="71.400000000000006"/>
    <x v="275"/>
    <x v="12"/>
    <d v="2025-01-14T00:00:00"/>
    <x v="1"/>
    <x v="0"/>
    <x v="0"/>
    <x v="0"/>
    <x v="7"/>
    <x v="3"/>
    <x v="2"/>
    <x v="1"/>
  </r>
  <r>
    <s v="TX500289"/>
    <x v="0"/>
    <x v="16"/>
    <n v="15.6"/>
    <x v="276"/>
    <x v="12"/>
    <d v="2025-01-14T00:00:00"/>
    <x v="1"/>
    <x v="1"/>
    <x v="3"/>
    <x v="0"/>
    <x v="8"/>
    <x v="3"/>
    <x v="2"/>
    <x v="1"/>
  </r>
  <r>
    <s v="TX500290"/>
    <x v="10"/>
    <x v="12"/>
    <n v="37.799999999999997"/>
    <x v="277"/>
    <x v="12"/>
    <d v="2025-01-14T00:00:00"/>
    <x v="1"/>
    <x v="2"/>
    <x v="2"/>
    <x v="0"/>
    <x v="8"/>
    <x v="3"/>
    <x v="2"/>
    <x v="1"/>
  </r>
  <r>
    <s v="TX500291"/>
    <x v="4"/>
    <x v="2"/>
    <n v="28.1"/>
    <x v="278"/>
    <x v="12"/>
    <d v="2025-01-17T00:00:00"/>
    <x v="1"/>
    <x v="0"/>
    <x v="0"/>
    <x v="0"/>
    <x v="8"/>
    <x v="5"/>
    <x v="2"/>
    <x v="1"/>
  </r>
  <r>
    <s v="TX500292"/>
    <x v="7"/>
    <x v="13"/>
    <n v="51.4"/>
    <x v="279"/>
    <x v="12"/>
    <d v="2025-01-17T00:00:00"/>
    <x v="1"/>
    <x v="0"/>
    <x v="0"/>
    <x v="0"/>
    <x v="8"/>
    <x v="5"/>
    <x v="2"/>
    <x v="1"/>
  </r>
  <r>
    <s v="TX500293"/>
    <x v="7"/>
    <x v="1"/>
    <n v="97.7"/>
    <x v="280"/>
    <x v="12"/>
    <d v="2025-01-15T00:00:00"/>
    <x v="2"/>
    <x v="4"/>
    <x v="2"/>
    <x v="0"/>
    <x v="17"/>
    <x v="1"/>
    <x v="2"/>
    <x v="2"/>
  </r>
  <r>
    <s v="TX500294"/>
    <x v="1"/>
    <x v="12"/>
    <n v="63.8"/>
    <x v="281"/>
    <x v="12"/>
    <d v="2025-01-14T00:00:00"/>
    <x v="1"/>
    <x v="2"/>
    <x v="0"/>
    <x v="0"/>
    <x v="38"/>
    <x v="3"/>
    <x v="2"/>
    <x v="1"/>
  </r>
  <r>
    <s v="TX500295"/>
    <x v="13"/>
    <x v="1"/>
    <n v="20.100000000000001"/>
    <x v="282"/>
    <x v="12"/>
    <d v="2025-01-15T00:00:00"/>
    <x v="1"/>
    <x v="0"/>
    <x v="2"/>
    <x v="0"/>
    <x v="20"/>
    <x v="1"/>
    <x v="2"/>
    <x v="1"/>
  </r>
  <r>
    <s v="TX500296"/>
    <x v="11"/>
    <x v="2"/>
    <n v="50.4"/>
    <x v="277"/>
    <x v="12"/>
    <d v="2025-01-16T00:00:00"/>
    <x v="2"/>
    <x v="3"/>
    <x v="0"/>
    <x v="0"/>
    <x v="13"/>
    <x v="2"/>
    <x v="2"/>
    <x v="2"/>
  </r>
  <r>
    <s v="TX500297"/>
    <x v="0"/>
    <x v="0"/>
    <n v="16.2"/>
    <x v="283"/>
    <x v="12"/>
    <d v="2025-01-26T00:00:00"/>
    <x v="2"/>
    <x v="1"/>
    <x v="0"/>
    <x v="0"/>
    <x v="1"/>
    <x v="10"/>
    <x v="2"/>
    <x v="2"/>
  </r>
  <r>
    <s v="TX500298"/>
    <x v="6"/>
    <x v="3"/>
    <n v="80.900000000000006"/>
    <x v="284"/>
    <x v="12"/>
    <d v="2025-01-15T00:00:00"/>
    <x v="1"/>
    <x v="4"/>
    <x v="4"/>
    <x v="0"/>
    <x v="2"/>
    <x v="1"/>
    <x v="2"/>
    <x v="1"/>
  </r>
  <r>
    <s v="TX500299"/>
    <x v="9"/>
    <x v="13"/>
    <n v="95.2"/>
    <x v="285"/>
    <x v="12"/>
    <d v="2025-01-15T00:00:00"/>
    <x v="2"/>
    <x v="0"/>
    <x v="2"/>
    <x v="0"/>
    <x v="2"/>
    <x v="1"/>
    <x v="2"/>
    <x v="2"/>
  </r>
  <r>
    <s v="TX500300"/>
    <x v="5"/>
    <x v="8"/>
    <n v="70.400000000000006"/>
    <x v="286"/>
    <x v="12"/>
    <d v="2025-01-14T00:00:00"/>
    <x v="1"/>
    <x v="1"/>
    <x v="1"/>
    <x v="0"/>
    <x v="3"/>
    <x v="3"/>
    <x v="2"/>
    <x v="1"/>
  </r>
  <r>
    <s v="TX500301"/>
    <x v="0"/>
    <x v="9"/>
    <n v="10.7"/>
    <x v="287"/>
    <x v="12"/>
    <d v="2025-01-17T00:00:00"/>
    <x v="2"/>
    <x v="2"/>
    <x v="0"/>
    <x v="0"/>
    <x v="3"/>
    <x v="5"/>
    <x v="2"/>
    <x v="2"/>
  </r>
  <r>
    <s v="TX500302"/>
    <x v="8"/>
    <x v="9"/>
    <n v="19.600000000000001"/>
    <x v="11"/>
    <x v="12"/>
    <d v="2025-01-15T00:00:00"/>
    <x v="2"/>
    <x v="0"/>
    <x v="3"/>
    <x v="0"/>
    <x v="3"/>
    <x v="1"/>
    <x v="2"/>
    <x v="2"/>
  </r>
  <r>
    <s v="TX500303"/>
    <x v="8"/>
    <x v="5"/>
    <n v="34.700000000000003"/>
    <x v="288"/>
    <x v="12"/>
    <d v="2025-01-15T00:00:00"/>
    <x v="2"/>
    <x v="0"/>
    <x v="2"/>
    <x v="0"/>
    <x v="3"/>
    <x v="1"/>
    <x v="2"/>
    <x v="2"/>
  </r>
  <r>
    <s v="TX500304"/>
    <x v="10"/>
    <x v="11"/>
    <n v="34.1"/>
    <x v="289"/>
    <x v="12"/>
    <d v="2025-01-14T00:00:00"/>
    <x v="2"/>
    <x v="4"/>
    <x v="1"/>
    <x v="0"/>
    <x v="3"/>
    <x v="3"/>
    <x v="2"/>
    <x v="2"/>
  </r>
  <r>
    <s v="TX500305"/>
    <x v="0"/>
    <x v="26"/>
    <n v="29.3"/>
    <x v="290"/>
    <x v="12"/>
    <d v="2025-01-13T00:00:00"/>
    <x v="1"/>
    <x v="0"/>
    <x v="1"/>
    <x v="0"/>
    <x v="3"/>
    <x v="7"/>
    <x v="2"/>
    <x v="1"/>
  </r>
  <r>
    <s v="TX500306"/>
    <x v="1"/>
    <x v="0"/>
    <n v="55.2"/>
    <x v="291"/>
    <x v="12"/>
    <d v="2025-01-14T00:00:00"/>
    <x v="2"/>
    <x v="0"/>
    <x v="1"/>
    <x v="0"/>
    <x v="3"/>
    <x v="3"/>
    <x v="2"/>
    <x v="2"/>
  </r>
  <r>
    <s v="TX500307"/>
    <x v="18"/>
    <x v="2"/>
    <n v="26"/>
    <x v="292"/>
    <x v="12"/>
    <d v="2025-01-16T00:00:00"/>
    <x v="2"/>
    <x v="0"/>
    <x v="2"/>
    <x v="0"/>
    <x v="3"/>
    <x v="2"/>
    <x v="2"/>
    <x v="2"/>
  </r>
  <r>
    <s v="TX500308"/>
    <x v="14"/>
    <x v="1"/>
    <n v="14.2"/>
    <x v="293"/>
    <x v="12"/>
    <d v="2025-01-18T00:00:00"/>
    <x v="2"/>
    <x v="3"/>
    <x v="0"/>
    <x v="0"/>
    <x v="39"/>
    <x v="0"/>
    <x v="2"/>
    <x v="2"/>
  </r>
  <r>
    <s v="TX500309"/>
    <x v="8"/>
    <x v="11"/>
    <n v="22.7"/>
    <x v="294"/>
    <x v="13"/>
    <d v="2025-01-15T00:00:00"/>
    <x v="1"/>
    <x v="1"/>
    <x v="0"/>
    <x v="0"/>
    <x v="6"/>
    <x v="3"/>
    <x v="2"/>
    <x v="1"/>
  </r>
  <r>
    <s v="TX500310"/>
    <x v="0"/>
    <x v="20"/>
    <n v="19.8"/>
    <x v="295"/>
    <x v="13"/>
    <d v="2025-01-14T00:00:00"/>
    <x v="2"/>
    <x v="0"/>
    <x v="2"/>
    <x v="0"/>
    <x v="6"/>
    <x v="7"/>
    <x v="2"/>
    <x v="2"/>
  </r>
  <r>
    <s v="TX500311"/>
    <x v="0"/>
    <x v="2"/>
    <n v="31.7"/>
    <x v="296"/>
    <x v="13"/>
    <d v="2025-01-15T00:00:00"/>
    <x v="1"/>
    <x v="2"/>
    <x v="0"/>
    <x v="0"/>
    <x v="6"/>
    <x v="3"/>
    <x v="2"/>
    <x v="1"/>
  </r>
  <r>
    <s v="TX500312"/>
    <x v="8"/>
    <x v="12"/>
    <n v="30.4"/>
    <x v="297"/>
    <x v="13"/>
    <d v="2025-01-18T00:00:00"/>
    <x v="1"/>
    <x v="0"/>
    <x v="0"/>
    <x v="0"/>
    <x v="6"/>
    <x v="5"/>
    <x v="2"/>
    <x v="1"/>
  </r>
  <r>
    <s v="TX500313"/>
    <x v="0"/>
    <x v="12"/>
    <n v="25.6"/>
    <x v="298"/>
    <x v="13"/>
    <d v="2025-01-15T00:00:00"/>
    <x v="1"/>
    <x v="3"/>
    <x v="0"/>
    <x v="0"/>
    <x v="8"/>
    <x v="3"/>
    <x v="2"/>
    <x v="1"/>
  </r>
  <r>
    <s v="TX500314"/>
    <x v="5"/>
    <x v="1"/>
    <n v="34.9"/>
    <x v="299"/>
    <x v="13"/>
    <d v="2025-01-15T00:00:00"/>
    <x v="2"/>
    <x v="2"/>
    <x v="0"/>
    <x v="0"/>
    <x v="9"/>
    <x v="3"/>
    <x v="2"/>
    <x v="2"/>
  </r>
  <r>
    <s v="TX500315"/>
    <x v="7"/>
    <x v="13"/>
    <n v="42.7"/>
    <x v="300"/>
    <x v="13"/>
    <d v="2025-01-17T00:00:00"/>
    <x v="1"/>
    <x v="2"/>
    <x v="1"/>
    <x v="0"/>
    <x v="11"/>
    <x v="2"/>
    <x v="2"/>
    <x v="1"/>
  </r>
  <r>
    <s v="TX500316"/>
    <x v="8"/>
    <x v="0"/>
    <n v="23.9"/>
    <x v="301"/>
    <x v="13"/>
    <d v="2025-01-16T00:00:00"/>
    <x v="2"/>
    <x v="3"/>
    <x v="0"/>
    <x v="0"/>
    <x v="11"/>
    <x v="1"/>
    <x v="2"/>
    <x v="2"/>
  </r>
  <r>
    <s v="TX500317"/>
    <x v="6"/>
    <x v="0"/>
    <n v="124.3"/>
    <x v="302"/>
    <x v="13"/>
    <d v="2025-01-15T00:00:00"/>
    <x v="0"/>
    <x v="2"/>
    <x v="1"/>
    <x v="0"/>
    <x v="21"/>
    <x v="3"/>
    <x v="2"/>
    <x v="0"/>
  </r>
  <r>
    <s v="TX500318"/>
    <x v="8"/>
    <x v="13"/>
    <n v="35.9"/>
    <x v="303"/>
    <x v="13"/>
    <d v="2025-01-15T00:00:00"/>
    <x v="2"/>
    <x v="0"/>
    <x v="1"/>
    <x v="0"/>
    <x v="1"/>
    <x v="3"/>
    <x v="2"/>
    <x v="2"/>
  </r>
  <r>
    <s v="TX500319"/>
    <x v="2"/>
    <x v="1"/>
    <n v="69.099999999999994"/>
    <x v="304"/>
    <x v="13"/>
    <d v="2025-01-17T00:00:00"/>
    <x v="2"/>
    <x v="0"/>
    <x v="2"/>
    <x v="0"/>
    <x v="22"/>
    <x v="2"/>
    <x v="2"/>
    <x v="2"/>
  </r>
  <r>
    <s v="TX500320"/>
    <x v="7"/>
    <x v="0"/>
    <n v="58.4"/>
    <x v="305"/>
    <x v="13"/>
    <d v="2025-01-18T00:00:00"/>
    <x v="1"/>
    <x v="0"/>
    <x v="0"/>
    <x v="0"/>
    <x v="22"/>
    <x v="5"/>
    <x v="2"/>
    <x v="1"/>
  </r>
  <r>
    <s v="TX500321"/>
    <x v="5"/>
    <x v="0"/>
    <n v="65.2"/>
    <x v="221"/>
    <x v="13"/>
    <d v="2025-01-16T00:00:00"/>
    <x v="3"/>
    <x v="4"/>
    <x v="4"/>
    <x v="0"/>
    <x v="3"/>
    <x v="1"/>
    <x v="2"/>
    <x v="3"/>
  </r>
  <r>
    <s v="TX500322"/>
    <x v="8"/>
    <x v="14"/>
    <n v="32.700000000000003"/>
    <x v="306"/>
    <x v="13"/>
    <d v="2025-01-21T00:00:00"/>
    <x v="0"/>
    <x v="4"/>
    <x v="0"/>
    <x v="0"/>
    <x v="3"/>
    <x v="6"/>
    <x v="2"/>
    <x v="0"/>
  </r>
  <r>
    <s v="TX500323"/>
    <x v="10"/>
    <x v="3"/>
    <n v="24.4"/>
    <x v="307"/>
    <x v="13"/>
    <d v="2025-01-15T00:00:00"/>
    <x v="2"/>
    <x v="0"/>
    <x v="0"/>
    <x v="0"/>
    <x v="3"/>
    <x v="3"/>
    <x v="2"/>
    <x v="2"/>
  </r>
  <r>
    <s v="TX500324"/>
    <x v="14"/>
    <x v="1"/>
    <n v="50.4"/>
    <x v="90"/>
    <x v="13"/>
    <d v="2025-01-20T00:00:00"/>
    <x v="1"/>
    <x v="0"/>
    <x v="1"/>
    <x v="0"/>
    <x v="3"/>
    <x v="4"/>
    <x v="2"/>
    <x v="1"/>
  </r>
  <r>
    <s v="TX500325"/>
    <x v="1"/>
    <x v="1"/>
    <n v="100"/>
    <x v="308"/>
    <x v="13"/>
    <d v="2025-01-15T00:00:00"/>
    <x v="2"/>
    <x v="0"/>
    <x v="0"/>
    <x v="0"/>
    <x v="3"/>
    <x v="3"/>
    <x v="2"/>
    <x v="2"/>
  </r>
  <r>
    <s v="TX500326"/>
    <x v="10"/>
    <x v="2"/>
    <n v="43"/>
    <x v="309"/>
    <x v="14"/>
    <d v="2025-01-15T00:00:00"/>
    <x v="2"/>
    <x v="2"/>
    <x v="1"/>
    <x v="0"/>
    <x v="3"/>
    <x v="7"/>
    <x v="2"/>
    <x v="2"/>
  </r>
  <r>
    <s v="TX500327"/>
    <x v="1"/>
    <x v="9"/>
    <n v="64.400000000000006"/>
    <x v="310"/>
    <x v="14"/>
    <d v="2025-01-17T00:00:00"/>
    <x v="1"/>
    <x v="2"/>
    <x v="1"/>
    <x v="0"/>
    <x v="3"/>
    <x v="1"/>
    <x v="2"/>
    <x v="1"/>
  </r>
  <r>
    <s v="TX500328"/>
    <x v="18"/>
    <x v="1"/>
    <n v="57.4"/>
    <x v="311"/>
    <x v="14"/>
    <d v="2025-01-16T00:00:00"/>
    <x v="1"/>
    <x v="2"/>
    <x v="1"/>
    <x v="0"/>
    <x v="3"/>
    <x v="3"/>
    <x v="2"/>
    <x v="1"/>
  </r>
  <r>
    <s v="TX500329"/>
    <x v="2"/>
    <x v="2"/>
    <n v="55.1"/>
    <x v="312"/>
    <x v="14"/>
    <d v="2025-01-18T00:00:00"/>
    <x v="2"/>
    <x v="1"/>
    <x v="0"/>
    <x v="0"/>
    <x v="3"/>
    <x v="2"/>
    <x v="2"/>
    <x v="2"/>
  </r>
  <r>
    <s v="TX500330"/>
    <x v="7"/>
    <x v="12"/>
    <n v="45.4"/>
    <x v="106"/>
    <x v="14"/>
    <d v="2025-01-16T00:00:00"/>
    <x v="2"/>
    <x v="1"/>
    <x v="0"/>
    <x v="0"/>
    <x v="3"/>
    <x v="3"/>
    <x v="2"/>
    <x v="2"/>
  </r>
  <r>
    <s v="TX500331"/>
    <x v="3"/>
    <x v="2"/>
    <n v="93.3"/>
    <x v="313"/>
    <x v="14"/>
    <d v="2025-01-16T00:00:00"/>
    <x v="2"/>
    <x v="0"/>
    <x v="0"/>
    <x v="0"/>
    <x v="40"/>
    <x v="3"/>
    <x v="2"/>
    <x v="2"/>
  </r>
  <r>
    <s v="TX500332"/>
    <x v="2"/>
    <x v="10"/>
    <n v="158.19999999999999"/>
    <x v="314"/>
    <x v="14"/>
    <d v="2025-01-16T00:00:00"/>
    <x v="2"/>
    <x v="1"/>
    <x v="2"/>
    <x v="0"/>
    <x v="16"/>
    <x v="3"/>
    <x v="2"/>
    <x v="2"/>
  </r>
  <r>
    <s v="TX500333"/>
    <x v="2"/>
    <x v="1"/>
    <n v="74.900000000000006"/>
    <x v="315"/>
    <x v="14"/>
    <d v="2025-01-17T00:00:00"/>
    <x v="1"/>
    <x v="3"/>
    <x v="0"/>
    <x v="0"/>
    <x v="6"/>
    <x v="1"/>
    <x v="2"/>
    <x v="1"/>
  </r>
  <r>
    <s v="TX500334"/>
    <x v="8"/>
    <x v="3"/>
    <n v="26"/>
    <x v="316"/>
    <x v="14"/>
    <d v="2025-01-18T00:00:00"/>
    <x v="2"/>
    <x v="1"/>
    <x v="0"/>
    <x v="0"/>
    <x v="8"/>
    <x v="2"/>
    <x v="2"/>
    <x v="2"/>
  </r>
  <r>
    <s v="TX500335"/>
    <x v="9"/>
    <x v="13"/>
    <n v="37.5"/>
    <x v="317"/>
    <x v="14"/>
    <d v="2025-01-16T00:00:00"/>
    <x v="2"/>
    <x v="0"/>
    <x v="1"/>
    <x v="0"/>
    <x v="8"/>
    <x v="3"/>
    <x v="2"/>
    <x v="2"/>
  </r>
  <r>
    <s v="TX500336"/>
    <x v="6"/>
    <x v="1"/>
    <n v="75.8"/>
    <x v="318"/>
    <x v="14"/>
    <d v="2025-01-21T00:00:00"/>
    <x v="1"/>
    <x v="0"/>
    <x v="0"/>
    <x v="0"/>
    <x v="8"/>
    <x v="4"/>
    <x v="2"/>
    <x v="1"/>
  </r>
  <r>
    <s v="TX500337"/>
    <x v="7"/>
    <x v="0"/>
    <n v="48.5"/>
    <x v="319"/>
    <x v="14"/>
    <d v="2025-01-27T00:00:00"/>
    <x v="0"/>
    <x v="4"/>
    <x v="2"/>
    <x v="0"/>
    <x v="8"/>
    <x v="13"/>
    <x v="2"/>
    <x v="0"/>
  </r>
  <r>
    <s v="TX500338"/>
    <x v="6"/>
    <x v="2"/>
    <n v="98.9"/>
    <x v="320"/>
    <x v="14"/>
    <d v="2025-01-17T00:00:00"/>
    <x v="2"/>
    <x v="4"/>
    <x v="1"/>
    <x v="0"/>
    <x v="8"/>
    <x v="1"/>
    <x v="2"/>
    <x v="2"/>
  </r>
  <r>
    <s v="TX500339"/>
    <x v="1"/>
    <x v="4"/>
    <n v="50.9"/>
    <x v="321"/>
    <x v="14"/>
    <d v="2025-01-15T00:00:00"/>
    <x v="1"/>
    <x v="4"/>
    <x v="0"/>
    <x v="0"/>
    <x v="8"/>
    <x v="7"/>
    <x v="2"/>
    <x v="1"/>
  </r>
  <r>
    <s v="TX500340"/>
    <x v="12"/>
    <x v="13"/>
    <n v="84.7"/>
    <x v="322"/>
    <x v="14"/>
    <d v="2025-01-15T00:00:00"/>
    <x v="2"/>
    <x v="2"/>
    <x v="0"/>
    <x v="0"/>
    <x v="8"/>
    <x v="7"/>
    <x v="2"/>
    <x v="2"/>
  </r>
  <r>
    <s v="TX500341"/>
    <x v="8"/>
    <x v="0"/>
    <n v="20.7"/>
    <x v="323"/>
    <x v="14"/>
    <d v="2025-01-17T00:00:00"/>
    <x v="2"/>
    <x v="3"/>
    <x v="2"/>
    <x v="0"/>
    <x v="8"/>
    <x v="1"/>
    <x v="2"/>
    <x v="2"/>
  </r>
  <r>
    <s v="TX500342"/>
    <x v="12"/>
    <x v="11"/>
    <n v="57.8"/>
    <x v="324"/>
    <x v="14"/>
    <d v="2025-01-26T00:00:00"/>
    <x v="1"/>
    <x v="0"/>
    <x v="4"/>
    <x v="0"/>
    <x v="17"/>
    <x v="11"/>
    <x v="2"/>
    <x v="1"/>
  </r>
  <r>
    <s v="TX500343"/>
    <x v="2"/>
    <x v="1"/>
    <n v="106.9"/>
    <x v="325"/>
    <x v="14"/>
    <d v="2025-01-17T00:00:00"/>
    <x v="2"/>
    <x v="0"/>
    <x v="2"/>
    <x v="0"/>
    <x v="41"/>
    <x v="1"/>
    <x v="2"/>
    <x v="2"/>
  </r>
  <r>
    <s v="TX500344"/>
    <x v="3"/>
    <x v="9"/>
    <n v="45.2"/>
    <x v="326"/>
    <x v="14"/>
    <d v="2025-01-19T00:00:00"/>
    <x v="2"/>
    <x v="1"/>
    <x v="0"/>
    <x v="0"/>
    <x v="21"/>
    <x v="5"/>
    <x v="2"/>
    <x v="2"/>
  </r>
  <r>
    <s v="TX500345"/>
    <x v="8"/>
    <x v="15"/>
    <n v="34.6"/>
    <x v="327"/>
    <x v="14"/>
    <d v="2025-01-15T00:00:00"/>
    <x v="2"/>
    <x v="1"/>
    <x v="1"/>
    <x v="0"/>
    <x v="21"/>
    <x v="7"/>
    <x v="2"/>
    <x v="2"/>
  </r>
  <r>
    <s v="TX500346"/>
    <x v="15"/>
    <x v="0"/>
    <n v="43.8"/>
    <x v="328"/>
    <x v="14"/>
    <d v="2025-01-17T00:00:00"/>
    <x v="0"/>
    <x v="0"/>
    <x v="2"/>
    <x v="0"/>
    <x v="21"/>
    <x v="1"/>
    <x v="2"/>
    <x v="0"/>
  </r>
  <r>
    <s v="TX500347"/>
    <x v="15"/>
    <x v="0"/>
    <n v="20.399999999999999"/>
    <x v="190"/>
    <x v="14"/>
    <d v="2025-01-17T00:00:00"/>
    <x v="1"/>
    <x v="4"/>
    <x v="1"/>
    <x v="0"/>
    <x v="21"/>
    <x v="1"/>
    <x v="2"/>
    <x v="1"/>
  </r>
  <r>
    <s v="TX500348"/>
    <x v="1"/>
    <x v="0"/>
    <n v="36.700000000000003"/>
    <x v="329"/>
    <x v="14"/>
    <d v="2025-01-16T00:00:00"/>
    <x v="1"/>
    <x v="0"/>
    <x v="1"/>
    <x v="0"/>
    <x v="1"/>
    <x v="3"/>
    <x v="2"/>
    <x v="1"/>
  </r>
  <r>
    <s v="TX500349"/>
    <x v="8"/>
    <x v="2"/>
    <n v="27.2"/>
    <x v="330"/>
    <x v="14"/>
    <d v="2025-01-19T00:00:00"/>
    <x v="1"/>
    <x v="0"/>
    <x v="2"/>
    <x v="0"/>
    <x v="1"/>
    <x v="5"/>
    <x v="2"/>
    <x v="1"/>
  </r>
  <r>
    <s v="TX500350"/>
    <x v="6"/>
    <x v="0"/>
    <n v="58.2"/>
    <x v="331"/>
    <x v="14"/>
    <d v="2025-01-16T00:00:00"/>
    <x v="2"/>
    <x v="0"/>
    <x v="2"/>
    <x v="0"/>
    <x v="42"/>
    <x v="3"/>
    <x v="2"/>
    <x v="2"/>
  </r>
  <r>
    <s v="TX500351"/>
    <x v="8"/>
    <x v="2"/>
    <n v="25.6"/>
    <x v="332"/>
    <x v="14"/>
    <d v="2025-01-16T00:00:00"/>
    <x v="1"/>
    <x v="4"/>
    <x v="4"/>
    <x v="0"/>
    <x v="2"/>
    <x v="3"/>
    <x v="2"/>
    <x v="1"/>
  </r>
  <r>
    <s v="TX500352"/>
    <x v="10"/>
    <x v="0"/>
    <n v="21.2"/>
    <x v="333"/>
    <x v="14"/>
    <d v="2025-01-15T00:00:00"/>
    <x v="2"/>
    <x v="1"/>
    <x v="2"/>
    <x v="0"/>
    <x v="3"/>
    <x v="7"/>
    <x v="2"/>
    <x v="2"/>
  </r>
  <r>
    <s v="TX500353"/>
    <x v="6"/>
    <x v="1"/>
    <n v="48.2"/>
    <x v="334"/>
    <x v="14"/>
    <d v="2025-01-23T00:00:00"/>
    <x v="2"/>
    <x v="0"/>
    <x v="2"/>
    <x v="0"/>
    <x v="3"/>
    <x v="9"/>
    <x v="2"/>
    <x v="2"/>
  </r>
  <r>
    <s v="TX500354"/>
    <x v="1"/>
    <x v="12"/>
    <n v="83.4"/>
    <x v="335"/>
    <x v="15"/>
    <d v="2025-01-17T00:00:00"/>
    <x v="1"/>
    <x v="0"/>
    <x v="0"/>
    <x v="0"/>
    <x v="3"/>
    <x v="3"/>
    <x v="2"/>
    <x v="1"/>
  </r>
  <r>
    <s v="TX500355"/>
    <x v="9"/>
    <x v="2"/>
    <n v="45.3"/>
    <x v="336"/>
    <x v="15"/>
    <d v="2025-01-22T00:00:00"/>
    <x v="1"/>
    <x v="2"/>
    <x v="1"/>
    <x v="0"/>
    <x v="3"/>
    <x v="4"/>
    <x v="2"/>
    <x v="1"/>
  </r>
  <r>
    <s v="TX500356"/>
    <x v="17"/>
    <x v="0"/>
    <n v="42"/>
    <x v="337"/>
    <x v="15"/>
    <d v="2025-01-17T00:00:00"/>
    <x v="0"/>
    <x v="0"/>
    <x v="0"/>
    <x v="0"/>
    <x v="3"/>
    <x v="3"/>
    <x v="2"/>
    <x v="0"/>
  </r>
  <r>
    <s v="TX500357"/>
    <x v="0"/>
    <x v="11"/>
    <n v="21.8"/>
    <x v="338"/>
    <x v="15"/>
    <d v="2025-01-18T00:00:00"/>
    <x v="2"/>
    <x v="1"/>
    <x v="0"/>
    <x v="0"/>
    <x v="3"/>
    <x v="1"/>
    <x v="2"/>
    <x v="2"/>
  </r>
  <r>
    <s v="TX500358"/>
    <x v="8"/>
    <x v="16"/>
    <n v="21.4"/>
    <x v="339"/>
    <x v="15"/>
    <d v="2025-01-19T00:00:00"/>
    <x v="2"/>
    <x v="1"/>
    <x v="2"/>
    <x v="0"/>
    <x v="3"/>
    <x v="2"/>
    <x v="2"/>
    <x v="2"/>
  </r>
  <r>
    <s v="TX500359"/>
    <x v="10"/>
    <x v="2"/>
    <n v="45"/>
    <x v="340"/>
    <x v="15"/>
    <d v="2025-01-16T00:00:00"/>
    <x v="2"/>
    <x v="1"/>
    <x v="2"/>
    <x v="0"/>
    <x v="3"/>
    <x v="7"/>
    <x v="2"/>
    <x v="2"/>
  </r>
  <r>
    <s v="TX500360"/>
    <x v="14"/>
    <x v="0"/>
    <n v="39.6"/>
    <x v="341"/>
    <x v="15"/>
    <d v="2025-01-17T00:00:00"/>
    <x v="1"/>
    <x v="0"/>
    <x v="2"/>
    <x v="0"/>
    <x v="3"/>
    <x v="3"/>
    <x v="2"/>
    <x v="1"/>
  </r>
  <r>
    <s v="TX500361"/>
    <x v="12"/>
    <x v="2"/>
    <n v="79.8"/>
    <x v="342"/>
    <x v="15"/>
    <d v="2025-01-22T00:00:00"/>
    <x v="2"/>
    <x v="1"/>
    <x v="4"/>
    <x v="0"/>
    <x v="3"/>
    <x v="4"/>
    <x v="2"/>
    <x v="2"/>
  </r>
  <r>
    <s v="TX500362"/>
    <x v="1"/>
    <x v="12"/>
    <n v="63.6"/>
    <x v="343"/>
    <x v="15"/>
    <d v="2025-01-17T00:00:00"/>
    <x v="3"/>
    <x v="0"/>
    <x v="2"/>
    <x v="0"/>
    <x v="24"/>
    <x v="3"/>
    <x v="2"/>
    <x v="3"/>
  </r>
  <r>
    <s v="TX500363"/>
    <x v="7"/>
    <x v="7"/>
    <n v="92.7"/>
    <x v="344"/>
    <x v="15"/>
    <d v="2025-01-20T00:00:00"/>
    <x v="1"/>
    <x v="1"/>
    <x v="2"/>
    <x v="0"/>
    <x v="6"/>
    <x v="5"/>
    <x v="2"/>
    <x v="1"/>
  </r>
  <r>
    <s v="TX500364"/>
    <x v="1"/>
    <x v="12"/>
    <n v="48.4"/>
    <x v="345"/>
    <x v="15"/>
    <d v="2025-01-18T00:00:00"/>
    <x v="2"/>
    <x v="1"/>
    <x v="2"/>
    <x v="0"/>
    <x v="6"/>
    <x v="1"/>
    <x v="2"/>
    <x v="2"/>
  </r>
  <r>
    <s v="TX500365"/>
    <x v="9"/>
    <x v="8"/>
    <n v="36"/>
    <x v="346"/>
    <x v="15"/>
    <d v="2025-01-19T00:00:00"/>
    <x v="1"/>
    <x v="2"/>
    <x v="2"/>
    <x v="0"/>
    <x v="8"/>
    <x v="2"/>
    <x v="2"/>
    <x v="1"/>
  </r>
  <r>
    <s v="TX500366"/>
    <x v="8"/>
    <x v="4"/>
    <n v="27"/>
    <x v="347"/>
    <x v="15"/>
    <d v="2025-01-18T00:00:00"/>
    <x v="2"/>
    <x v="2"/>
    <x v="1"/>
    <x v="0"/>
    <x v="8"/>
    <x v="1"/>
    <x v="2"/>
    <x v="2"/>
  </r>
  <r>
    <s v="TX500367"/>
    <x v="2"/>
    <x v="8"/>
    <n v="53.9"/>
    <x v="348"/>
    <x v="15"/>
    <d v="2025-01-17T00:00:00"/>
    <x v="0"/>
    <x v="0"/>
    <x v="0"/>
    <x v="0"/>
    <x v="8"/>
    <x v="3"/>
    <x v="2"/>
    <x v="0"/>
  </r>
  <r>
    <s v="TX500368"/>
    <x v="3"/>
    <x v="11"/>
    <n v="48.4"/>
    <x v="349"/>
    <x v="15"/>
    <d v="2025-01-17T00:00:00"/>
    <x v="2"/>
    <x v="1"/>
    <x v="0"/>
    <x v="0"/>
    <x v="9"/>
    <x v="3"/>
    <x v="2"/>
    <x v="2"/>
  </r>
  <r>
    <s v="TX500369"/>
    <x v="17"/>
    <x v="1"/>
    <n v="49.9"/>
    <x v="350"/>
    <x v="15"/>
    <d v="2025-01-21T00:00:00"/>
    <x v="1"/>
    <x v="4"/>
    <x v="4"/>
    <x v="0"/>
    <x v="10"/>
    <x v="0"/>
    <x v="2"/>
    <x v="1"/>
  </r>
  <r>
    <s v="TX500370"/>
    <x v="1"/>
    <x v="2"/>
    <n v="51.7"/>
    <x v="351"/>
    <x v="15"/>
    <d v="2025-01-17T00:00:00"/>
    <x v="2"/>
    <x v="0"/>
    <x v="2"/>
    <x v="0"/>
    <x v="11"/>
    <x v="3"/>
    <x v="2"/>
    <x v="2"/>
  </r>
  <r>
    <s v="TX500371"/>
    <x v="8"/>
    <x v="2"/>
    <n v="41.8"/>
    <x v="352"/>
    <x v="15"/>
    <d v="2025-01-18T00:00:00"/>
    <x v="2"/>
    <x v="2"/>
    <x v="0"/>
    <x v="0"/>
    <x v="18"/>
    <x v="1"/>
    <x v="2"/>
    <x v="2"/>
  </r>
  <r>
    <s v="TX500372"/>
    <x v="4"/>
    <x v="12"/>
    <n v="36.200000000000003"/>
    <x v="353"/>
    <x v="16"/>
    <d v="2025-01-18T00:00:00"/>
    <x v="1"/>
    <x v="2"/>
    <x v="2"/>
    <x v="0"/>
    <x v="21"/>
    <x v="3"/>
    <x v="2"/>
    <x v="1"/>
  </r>
  <r>
    <s v="TX500373"/>
    <x v="2"/>
    <x v="0"/>
    <n v="150.9"/>
    <x v="354"/>
    <x v="16"/>
    <d v="2025-01-27T00:00:00"/>
    <x v="1"/>
    <x v="0"/>
    <x v="0"/>
    <x v="0"/>
    <x v="1"/>
    <x v="14"/>
    <x v="2"/>
    <x v="1"/>
  </r>
  <r>
    <s v="TX500374"/>
    <x v="18"/>
    <x v="12"/>
    <n v="77.599999999999994"/>
    <x v="355"/>
    <x v="16"/>
    <d v="2025-01-18T00:00:00"/>
    <x v="0"/>
    <x v="2"/>
    <x v="0"/>
    <x v="0"/>
    <x v="3"/>
    <x v="3"/>
    <x v="2"/>
    <x v="0"/>
  </r>
  <r>
    <s v="TX500375"/>
    <x v="13"/>
    <x v="9"/>
    <n v="65.5"/>
    <x v="356"/>
    <x v="16"/>
    <d v="2025-01-17T00:00:00"/>
    <x v="1"/>
    <x v="1"/>
    <x v="0"/>
    <x v="0"/>
    <x v="3"/>
    <x v="7"/>
    <x v="2"/>
    <x v="1"/>
  </r>
  <r>
    <s v="TX500376"/>
    <x v="6"/>
    <x v="2"/>
    <n v="90.1"/>
    <x v="357"/>
    <x v="16"/>
    <d v="2025-01-19T00:00:00"/>
    <x v="2"/>
    <x v="0"/>
    <x v="0"/>
    <x v="0"/>
    <x v="3"/>
    <x v="1"/>
    <x v="2"/>
    <x v="2"/>
  </r>
  <r>
    <s v="TX500377"/>
    <x v="1"/>
    <x v="1"/>
    <n v="108.3"/>
    <x v="358"/>
    <x v="16"/>
    <d v="2025-01-20T00:00:00"/>
    <x v="3"/>
    <x v="4"/>
    <x v="0"/>
    <x v="0"/>
    <x v="3"/>
    <x v="2"/>
    <x v="2"/>
    <x v="3"/>
  </r>
  <r>
    <s v="TX500378"/>
    <x v="5"/>
    <x v="2"/>
    <n v="59.9"/>
    <x v="359"/>
    <x v="16"/>
    <d v="2025-01-21T00:00:00"/>
    <x v="2"/>
    <x v="0"/>
    <x v="0"/>
    <x v="0"/>
    <x v="3"/>
    <x v="5"/>
    <x v="2"/>
    <x v="2"/>
  </r>
  <r>
    <s v="TX500379"/>
    <x v="2"/>
    <x v="14"/>
    <n v="139"/>
    <x v="360"/>
    <x v="16"/>
    <d v="2025-01-19T00:00:00"/>
    <x v="2"/>
    <x v="1"/>
    <x v="4"/>
    <x v="0"/>
    <x v="3"/>
    <x v="1"/>
    <x v="2"/>
    <x v="2"/>
  </r>
  <r>
    <s v="TX500380"/>
    <x v="6"/>
    <x v="2"/>
    <n v="87.3"/>
    <x v="361"/>
    <x v="16"/>
    <d v="2025-01-18T00:00:00"/>
    <x v="2"/>
    <x v="0"/>
    <x v="0"/>
    <x v="0"/>
    <x v="3"/>
    <x v="3"/>
    <x v="2"/>
    <x v="2"/>
  </r>
  <r>
    <s v="TX500381"/>
    <x v="11"/>
    <x v="12"/>
    <n v="42.3"/>
    <x v="362"/>
    <x v="16"/>
    <d v="2025-01-17T00:00:00"/>
    <x v="1"/>
    <x v="0"/>
    <x v="0"/>
    <x v="0"/>
    <x v="3"/>
    <x v="7"/>
    <x v="2"/>
    <x v="1"/>
  </r>
  <r>
    <s v="TX500382"/>
    <x v="14"/>
    <x v="8"/>
    <n v="103.6"/>
    <x v="363"/>
    <x v="16"/>
    <d v="2025-01-18T00:00:00"/>
    <x v="3"/>
    <x v="0"/>
    <x v="1"/>
    <x v="0"/>
    <x v="3"/>
    <x v="3"/>
    <x v="2"/>
    <x v="3"/>
  </r>
  <r>
    <s v="TX500383"/>
    <x v="6"/>
    <x v="1"/>
    <n v="90.9"/>
    <x v="364"/>
    <x v="16"/>
    <d v="2025-01-18T00:00:00"/>
    <x v="1"/>
    <x v="1"/>
    <x v="0"/>
    <x v="0"/>
    <x v="6"/>
    <x v="3"/>
    <x v="2"/>
    <x v="1"/>
  </r>
  <r>
    <s v="TX500384"/>
    <x v="9"/>
    <x v="27"/>
    <n v="100.9"/>
    <x v="365"/>
    <x v="16"/>
    <d v="2025-01-18T00:00:00"/>
    <x v="2"/>
    <x v="1"/>
    <x v="0"/>
    <x v="0"/>
    <x v="6"/>
    <x v="3"/>
    <x v="2"/>
    <x v="2"/>
  </r>
  <r>
    <s v="TX500385"/>
    <x v="4"/>
    <x v="9"/>
    <n v="36"/>
    <x v="366"/>
    <x v="16"/>
    <d v="2025-01-19T00:00:00"/>
    <x v="2"/>
    <x v="1"/>
    <x v="0"/>
    <x v="0"/>
    <x v="7"/>
    <x v="1"/>
    <x v="2"/>
    <x v="2"/>
  </r>
  <r>
    <s v="TX500386"/>
    <x v="6"/>
    <x v="13"/>
    <n v="83.3"/>
    <x v="367"/>
    <x v="16"/>
    <d v="2025-01-20T00:00:00"/>
    <x v="0"/>
    <x v="2"/>
    <x v="0"/>
    <x v="0"/>
    <x v="7"/>
    <x v="2"/>
    <x v="2"/>
    <x v="0"/>
  </r>
  <r>
    <s v="TX500387"/>
    <x v="2"/>
    <x v="14"/>
    <n v="60.3"/>
    <x v="368"/>
    <x v="16"/>
    <d v="2025-01-18T00:00:00"/>
    <x v="1"/>
    <x v="2"/>
    <x v="1"/>
    <x v="0"/>
    <x v="7"/>
    <x v="3"/>
    <x v="2"/>
    <x v="1"/>
  </r>
  <r>
    <s v="TX500388"/>
    <x v="2"/>
    <x v="13"/>
    <n v="120.3"/>
    <x v="369"/>
    <x v="16"/>
    <d v="2025-01-18T00:00:00"/>
    <x v="1"/>
    <x v="2"/>
    <x v="0"/>
    <x v="0"/>
    <x v="8"/>
    <x v="3"/>
    <x v="2"/>
    <x v="1"/>
  </r>
  <r>
    <s v="TX500389"/>
    <x v="4"/>
    <x v="7"/>
    <n v="34"/>
    <x v="370"/>
    <x v="16"/>
    <d v="2025-01-21T00:00:00"/>
    <x v="2"/>
    <x v="2"/>
    <x v="0"/>
    <x v="0"/>
    <x v="8"/>
    <x v="5"/>
    <x v="2"/>
    <x v="2"/>
  </r>
  <r>
    <s v="TX500390"/>
    <x v="10"/>
    <x v="9"/>
    <n v="42.6"/>
    <x v="226"/>
    <x v="16"/>
    <d v="2025-01-20T00:00:00"/>
    <x v="1"/>
    <x v="1"/>
    <x v="0"/>
    <x v="0"/>
    <x v="8"/>
    <x v="2"/>
    <x v="2"/>
    <x v="1"/>
  </r>
  <r>
    <s v="TX500391"/>
    <x v="5"/>
    <x v="28"/>
    <n v="47.4"/>
    <x v="371"/>
    <x v="16"/>
    <d v="2025-01-17T00:00:00"/>
    <x v="2"/>
    <x v="2"/>
    <x v="1"/>
    <x v="0"/>
    <x v="17"/>
    <x v="7"/>
    <x v="2"/>
    <x v="2"/>
  </r>
  <r>
    <s v="TX500392"/>
    <x v="2"/>
    <x v="0"/>
    <n v="74"/>
    <x v="372"/>
    <x v="17"/>
    <d v="2025-01-19T00:00:00"/>
    <x v="1"/>
    <x v="1"/>
    <x v="0"/>
    <x v="0"/>
    <x v="11"/>
    <x v="3"/>
    <x v="2"/>
    <x v="1"/>
  </r>
  <r>
    <s v="TX500393"/>
    <x v="2"/>
    <x v="9"/>
    <n v="60.4"/>
    <x v="373"/>
    <x v="17"/>
    <d v="2025-01-21T00:00:00"/>
    <x v="2"/>
    <x v="1"/>
    <x v="4"/>
    <x v="0"/>
    <x v="18"/>
    <x v="2"/>
    <x v="2"/>
    <x v="2"/>
  </r>
  <r>
    <s v="TX500394"/>
    <x v="12"/>
    <x v="1"/>
    <n v="69.3"/>
    <x v="374"/>
    <x v="17"/>
    <d v="2025-01-21T00:00:00"/>
    <x v="1"/>
    <x v="1"/>
    <x v="1"/>
    <x v="0"/>
    <x v="13"/>
    <x v="2"/>
    <x v="2"/>
    <x v="1"/>
  </r>
  <r>
    <s v="TX500395"/>
    <x v="5"/>
    <x v="9"/>
    <n v="81"/>
    <x v="375"/>
    <x v="17"/>
    <d v="2025-01-24T00:00:00"/>
    <x v="1"/>
    <x v="3"/>
    <x v="0"/>
    <x v="0"/>
    <x v="21"/>
    <x v="4"/>
    <x v="2"/>
    <x v="1"/>
  </r>
  <r>
    <s v="TX500396"/>
    <x v="15"/>
    <x v="2"/>
    <n v="41.5"/>
    <x v="376"/>
    <x v="17"/>
    <d v="2025-01-20T00:00:00"/>
    <x v="3"/>
    <x v="1"/>
    <x v="0"/>
    <x v="0"/>
    <x v="21"/>
    <x v="1"/>
    <x v="2"/>
    <x v="3"/>
  </r>
  <r>
    <s v="TX500397"/>
    <x v="18"/>
    <x v="1"/>
    <n v="69.7"/>
    <x v="377"/>
    <x v="17"/>
    <d v="2025-01-23T00:00:00"/>
    <x v="1"/>
    <x v="1"/>
    <x v="0"/>
    <x v="0"/>
    <x v="21"/>
    <x v="0"/>
    <x v="2"/>
    <x v="1"/>
  </r>
  <r>
    <s v="TX500398"/>
    <x v="2"/>
    <x v="9"/>
    <n v="83.6"/>
    <x v="378"/>
    <x v="17"/>
    <d v="2025-01-18T00:00:00"/>
    <x v="2"/>
    <x v="4"/>
    <x v="0"/>
    <x v="0"/>
    <x v="1"/>
    <x v="7"/>
    <x v="2"/>
    <x v="2"/>
  </r>
  <r>
    <s v="TX500399"/>
    <x v="8"/>
    <x v="3"/>
    <n v="21.5"/>
    <x v="379"/>
    <x v="17"/>
    <d v="2025-01-20T00:00:00"/>
    <x v="1"/>
    <x v="1"/>
    <x v="4"/>
    <x v="0"/>
    <x v="34"/>
    <x v="1"/>
    <x v="2"/>
    <x v="1"/>
  </r>
  <r>
    <s v="TX500400"/>
    <x v="8"/>
    <x v="8"/>
    <n v="28.6"/>
    <x v="27"/>
    <x v="17"/>
    <d v="2025-01-19T00:00:00"/>
    <x v="1"/>
    <x v="0"/>
    <x v="0"/>
    <x v="0"/>
    <x v="3"/>
    <x v="3"/>
    <x v="2"/>
    <x v="1"/>
  </r>
  <r>
    <s v="TX500401"/>
    <x v="8"/>
    <x v="13"/>
    <n v="18.8"/>
    <x v="380"/>
    <x v="17"/>
    <d v="2025-01-21T00:00:00"/>
    <x v="1"/>
    <x v="3"/>
    <x v="2"/>
    <x v="0"/>
    <x v="3"/>
    <x v="2"/>
    <x v="2"/>
    <x v="1"/>
  </r>
  <r>
    <s v="TX500402"/>
    <x v="10"/>
    <x v="12"/>
    <n v="35.1"/>
    <x v="381"/>
    <x v="17"/>
    <d v="2025-01-18T00:00:00"/>
    <x v="2"/>
    <x v="1"/>
    <x v="1"/>
    <x v="0"/>
    <x v="3"/>
    <x v="7"/>
    <x v="2"/>
    <x v="2"/>
  </r>
  <r>
    <s v="TX500403"/>
    <x v="0"/>
    <x v="1"/>
    <n v="12.7"/>
    <x v="382"/>
    <x v="17"/>
    <d v="2025-01-20T00:00:00"/>
    <x v="2"/>
    <x v="1"/>
    <x v="2"/>
    <x v="0"/>
    <x v="3"/>
    <x v="1"/>
    <x v="2"/>
    <x v="2"/>
  </r>
  <r>
    <s v="TX500404"/>
    <x v="8"/>
    <x v="9"/>
    <n v="27.4"/>
    <x v="383"/>
    <x v="17"/>
    <d v="2025-01-20T00:00:00"/>
    <x v="3"/>
    <x v="0"/>
    <x v="0"/>
    <x v="0"/>
    <x v="3"/>
    <x v="1"/>
    <x v="2"/>
    <x v="3"/>
  </r>
  <r>
    <s v="TX500405"/>
    <x v="10"/>
    <x v="1"/>
    <n v="61.3"/>
    <x v="384"/>
    <x v="17"/>
    <d v="2025-01-19T00:00:00"/>
    <x v="2"/>
    <x v="1"/>
    <x v="0"/>
    <x v="0"/>
    <x v="6"/>
    <x v="3"/>
    <x v="2"/>
    <x v="2"/>
  </r>
  <r>
    <s v="TX500406"/>
    <x v="8"/>
    <x v="1"/>
    <n v="64.7"/>
    <x v="385"/>
    <x v="17"/>
    <d v="2025-01-20T00:00:00"/>
    <x v="2"/>
    <x v="3"/>
    <x v="2"/>
    <x v="0"/>
    <x v="6"/>
    <x v="1"/>
    <x v="2"/>
    <x v="2"/>
  </r>
  <r>
    <s v="TX500407"/>
    <x v="7"/>
    <x v="12"/>
    <n v="91.4"/>
    <x v="386"/>
    <x v="17"/>
    <d v="2025-01-20T00:00:00"/>
    <x v="2"/>
    <x v="0"/>
    <x v="0"/>
    <x v="0"/>
    <x v="8"/>
    <x v="1"/>
    <x v="2"/>
    <x v="2"/>
  </r>
  <r>
    <s v="TX500408"/>
    <x v="0"/>
    <x v="1"/>
    <n v="33.1"/>
    <x v="387"/>
    <x v="18"/>
    <d v="2025-01-20T00:00:00"/>
    <x v="1"/>
    <x v="0"/>
    <x v="2"/>
    <x v="0"/>
    <x v="8"/>
    <x v="3"/>
    <x v="3"/>
    <x v="1"/>
  </r>
  <r>
    <s v="TX500409"/>
    <x v="3"/>
    <x v="1"/>
    <n v="105.6"/>
    <x v="23"/>
    <x v="18"/>
    <d v="2025-01-20T00:00:00"/>
    <x v="1"/>
    <x v="2"/>
    <x v="1"/>
    <x v="0"/>
    <x v="8"/>
    <x v="3"/>
    <x v="3"/>
    <x v="1"/>
  </r>
  <r>
    <s v="TX500410"/>
    <x v="10"/>
    <x v="2"/>
    <n v="46.4"/>
    <x v="388"/>
    <x v="18"/>
    <d v="2025-01-20T00:00:00"/>
    <x v="1"/>
    <x v="2"/>
    <x v="0"/>
    <x v="0"/>
    <x v="9"/>
    <x v="3"/>
    <x v="3"/>
    <x v="1"/>
  </r>
  <r>
    <s v="TX500411"/>
    <x v="9"/>
    <x v="21"/>
    <n v="35.299999999999997"/>
    <x v="389"/>
    <x v="18"/>
    <d v="2025-01-22T00:00:00"/>
    <x v="2"/>
    <x v="4"/>
    <x v="1"/>
    <x v="0"/>
    <x v="11"/>
    <x v="2"/>
    <x v="3"/>
    <x v="2"/>
  </r>
  <r>
    <s v="TX500412"/>
    <x v="0"/>
    <x v="1"/>
    <n v="16.100000000000001"/>
    <x v="390"/>
    <x v="18"/>
    <d v="2025-01-21T00:00:00"/>
    <x v="1"/>
    <x v="3"/>
    <x v="2"/>
    <x v="0"/>
    <x v="32"/>
    <x v="1"/>
    <x v="3"/>
    <x v="1"/>
  </r>
  <r>
    <s v="TX500413"/>
    <x v="4"/>
    <x v="1"/>
    <n v="27.9"/>
    <x v="391"/>
    <x v="18"/>
    <d v="2025-01-22T00:00:00"/>
    <x v="1"/>
    <x v="0"/>
    <x v="0"/>
    <x v="0"/>
    <x v="13"/>
    <x v="2"/>
    <x v="3"/>
    <x v="1"/>
  </r>
  <r>
    <s v="TX500414"/>
    <x v="8"/>
    <x v="0"/>
    <n v="47.1"/>
    <x v="392"/>
    <x v="18"/>
    <d v="2025-01-27T00:00:00"/>
    <x v="2"/>
    <x v="1"/>
    <x v="0"/>
    <x v="0"/>
    <x v="2"/>
    <x v="9"/>
    <x v="3"/>
    <x v="2"/>
  </r>
  <r>
    <s v="TX500415"/>
    <x v="6"/>
    <x v="1"/>
    <n v="85"/>
    <x v="393"/>
    <x v="18"/>
    <d v="2025-01-22T00:00:00"/>
    <x v="0"/>
    <x v="2"/>
    <x v="2"/>
    <x v="0"/>
    <x v="22"/>
    <x v="2"/>
    <x v="3"/>
    <x v="0"/>
  </r>
  <r>
    <s v="TX500416"/>
    <x v="18"/>
    <x v="1"/>
    <n v="89"/>
    <x v="394"/>
    <x v="18"/>
    <d v="2025-01-21T00:00:00"/>
    <x v="2"/>
    <x v="0"/>
    <x v="0"/>
    <x v="0"/>
    <x v="3"/>
    <x v="1"/>
    <x v="3"/>
    <x v="2"/>
  </r>
  <r>
    <s v="TX500417"/>
    <x v="16"/>
    <x v="2"/>
    <n v="36.6"/>
    <x v="17"/>
    <x v="18"/>
    <d v="2025-01-20T00:00:00"/>
    <x v="3"/>
    <x v="3"/>
    <x v="2"/>
    <x v="0"/>
    <x v="3"/>
    <x v="3"/>
    <x v="3"/>
    <x v="3"/>
  </r>
  <r>
    <s v="TX500418"/>
    <x v="6"/>
    <x v="3"/>
    <n v="43.5"/>
    <x v="395"/>
    <x v="18"/>
    <d v="2025-01-20T00:00:00"/>
    <x v="1"/>
    <x v="1"/>
    <x v="2"/>
    <x v="0"/>
    <x v="3"/>
    <x v="3"/>
    <x v="3"/>
    <x v="1"/>
  </r>
  <r>
    <s v="TX500419"/>
    <x v="9"/>
    <x v="10"/>
    <n v="30.5"/>
    <x v="396"/>
    <x v="18"/>
    <d v="2025-01-19T00:00:00"/>
    <x v="2"/>
    <x v="3"/>
    <x v="0"/>
    <x v="0"/>
    <x v="3"/>
    <x v="7"/>
    <x v="3"/>
    <x v="2"/>
  </r>
  <r>
    <s v="TX500420"/>
    <x v="1"/>
    <x v="1"/>
    <n v="107.7"/>
    <x v="397"/>
    <x v="18"/>
    <d v="2025-01-23T00:00:00"/>
    <x v="1"/>
    <x v="3"/>
    <x v="4"/>
    <x v="0"/>
    <x v="3"/>
    <x v="5"/>
    <x v="3"/>
    <x v="1"/>
  </r>
  <r>
    <s v="TX500421"/>
    <x v="17"/>
    <x v="18"/>
    <n v="57.1"/>
    <x v="398"/>
    <x v="18"/>
    <d v="2025-01-20T00:00:00"/>
    <x v="1"/>
    <x v="1"/>
    <x v="0"/>
    <x v="0"/>
    <x v="3"/>
    <x v="3"/>
    <x v="3"/>
    <x v="1"/>
  </r>
  <r>
    <s v="TX500422"/>
    <x v="2"/>
    <x v="7"/>
    <n v="111.7"/>
    <x v="399"/>
    <x v="18"/>
    <d v="2025-01-20T00:00:00"/>
    <x v="2"/>
    <x v="4"/>
    <x v="2"/>
    <x v="0"/>
    <x v="3"/>
    <x v="3"/>
    <x v="3"/>
    <x v="2"/>
  </r>
  <r>
    <s v="TX500423"/>
    <x v="18"/>
    <x v="3"/>
    <n v="44.3"/>
    <x v="400"/>
    <x v="18"/>
    <d v="2025-01-22T00:00:00"/>
    <x v="1"/>
    <x v="3"/>
    <x v="2"/>
    <x v="0"/>
    <x v="3"/>
    <x v="2"/>
    <x v="3"/>
    <x v="1"/>
  </r>
  <r>
    <s v="TX500424"/>
    <x v="2"/>
    <x v="8"/>
    <n v="95.8"/>
    <x v="401"/>
    <x v="18"/>
    <d v="2025-01-25T00:00:00"/>
    <x v="3"/>
    <x v="0"/>
    <x v="0"/>
    <x v="0"/>
    <x v="3"/>
    <x v="4"/>
    <x v="3"/>
    <x v="3"/>
  </r>
  <r>
    <s v="TX500425"/>
    <x v="10"/>
    <x v="3"/>
    <n v="22.6"/>
    <x v="402"/>
    <x v="18"/>
    <d v="2025-01-22T00:00:00"/>
    <x v="2"/>
    <x v="3"/>
    <x v="1"/>
    <x v="0"/>
    <x v="3"/>
    <x v="2"/>
    <x v="3"/>
    <x v="2"/>
  </r>
  <r>
    <s v="TX500426"/>
    <x v="8"/>
    <x v="8"/>
    <n v="25.6"/>
    <x v="403"/>
    <x v="18"/>
    <d v="2025-01-21T00:00:00"/>
    <x v="2"/>
    <x v="4"/>
    <x v="0"/>
    <x v="0"/>
    <x v="3"/>
    <x v="1"/>
    <x v="3"/>
    <x v="2"/>
  </r>
  <r>
    <s v="TX500427"/>
    <x v="6"/>
    <x v="27"/>
    <n v="54.3"/>
    <x v="404"/>
    <x v="18"/>
    <d v="2025-01-22T00:00:00"/>
    <x v="2"/>
    <x v="4"/>
    <x v="0"/>
    <x v="0"/>
    <x v="3"/>
    <x v="2"/>
    <x v="3"/>
    <x v="2"/>
  </r>
  <r>
    <s v="TX500428"/>
    <x v="18"/>
    <x v="15"/>
    <n v="51.3"/>
    <x v="405"/>
    <x v="18"/>
    <d v="2025-01-21T00:00:00"/>
    <x v="1"/>
    <x v="0"/>
    <x v="2"/>
    <x v="0"/>
    <x v="3"/>
    <x v="1"/>
    <x v="3"/>
    <x v="1"/>
  </r>
  <r>
    <s v="TX500429"/>
    <x v="0"/>
    <x v="8"/>
    <n v="25.6"/>
    <x v="403"/>
    <x v="18"/>
    <d v="2025-01-20T00:00:00"/>
    <x v="2"/>
    <x v="1"/>
    <x v="1"/>
    <x v="0"/>
    <x v="3"/>
    <x v="3"/>
    <x v="3"/>
    <x v="2"/>
  </r>
  <r>
    <s v="TX500430"/>
    <x v="0"/>
    <x v="1"/>
    <n v="15.6"/>
    <x v="406"/>
    <x v="18"/>
    <d v="2025-01-20T00:00:00"/>
    <x v="2"/>
    <x v="2"/>
    <x v="2"/>
    <x v="0"/>
    <x v="3"/>
    <x v="3"/>
    <x v="3"/>
    <x v="2"/>
  </r>
  <r>
    <s v="TX500431"/>
    <x v="8"/>
    <x v="2"/>
    <n v="30.3"/>
    <x v="407"/>
    <x v="18"/>
    <d v="2025-01-23T00:00:00"/>
    <x v="2"/>
    <x v="0"/>
    <x v="1"/>
    <x v="0"/>
    <x v="3"/>
    <x v="5"/>
    <x v="3"/>
    <x v="2"/>
  </r>
  <r>
    <s v="TX500432"/>
    <x v="12"/>
    <x v="1"/>
    <n v="30.3"/>
    <x v="408"/>
    <x v="18"/>
    <d v="2025-01-24T00:00:00"/>
    <x v="2"/>
    <x v="0"/>
    <x v="2"/>
    <x v="0"/>
    <x v="37"/>
    <x v="0"/>
    <x v="3"/>
    <x v="2"/>
  </r>
  <r>
    <s v="TX500433"/>
    <x v="10"/>
    <x v="2"/>
    <n v="53"/>
    <x v="409"/>
    <x v="18"/>
    <d v="2025-01-26T00:00:00"/>
    <x v="2"/>
    <x v="2"/>
    <x v="0"/>
    <x v="0"/>
    <x v="24"/>
    <x v="6"/>
    <x v="3"/>
    <x v="2"/>
  </r>
  <r>
    <s v="TX500434"/>
    <x v="5"/>
    <x v="16"/>
    <n v="59.9"/>
    <x v="410"/>
    <x v="18"/>
    <d v="2025-01-22T00:00:00"/>
    <x v="1"/>
    <x v="2"/>
    <x v="4"/>
    <x v="0"/>
    <x v="25"/>
    <x v="2"/>
    <x v="3"/>
    <x v="1"/>
  </r>
  <r>
    <s v="TX500435"/>
    <x v="9"/>
    <x v="1"/>
    <n v="45.7"/>
    <x v="411"/>
    <x v="18"/>
    <d v="2025-01-20T00:00:00"/>
    <x v="2"/>
    <x v="1"/>
    <x v="2"/>
    <x v="0"/>
    <x v="6"/>
    <x v="3"/>
    <x v="3"/>
    <x v="2"/>
  </r>
  <r>
    <s v="TX500436"/>
    <x v="8"/>
    <x v="12"/>
    <n v="46.1"/>
    <x v="412"/>
    <x v="18"/>
    <d v="2025-01-20T00:00:00"/>
    <x v="1"/>
    <x v="0"/>
    <x v="0"/>
    <x v="0"/>
    <x v="6"/>
    <x v="3"/>
    <x v="3"/>
    <x v="1"/>
  </r>
  <r>
    <s v="TX500437"/>
    <x v="8"/>
    <x v="2"/>
    <n v="17.5"/>
    <x v="413"/>
    <x v="18"/>
    <d v="2025-01-20T00:00:00"/>
    <x v="2"/>
    <x v="0"/>
    <x v="2"/>
    <x v="0"/>
    <x v="8"/>
    <x v="3"/>
    <x v="3"/>
    <x v="2"/>
  </r>
  <r>
    <s v="TX500438"/>
    <x v="10"/>
    <x v="2"/>
    <n v="36.5"/>
    <x v="414"/>
    <x v="18"/>
    <d v="2025-01-30T00:00:00"/>
    <x v="1"/>
    <x v="2"/>
    <x v="0"/>
    <x v="0"/>
    <x v="8"/>
    <x v="11"/>
    <x v="3"/>
    <x v="1"/>
  </r>
  <r>
    <s v="TX500439"/>
    <x v="8"/>
    <x v="1"/>
    <n v="47.5"/>
    <x v="415"/>
    <x v="19"/>
    <d v="2025-01-22T00:00:00"/>
    <x v="2"/>
    <x v="1"/>
    <x v="0"/>
    <x v="0"/>
    <x v="8"/>
    <x v="1"/>
    <x v="3"/>
    <x v="2"/>
  </r>
  <r>
    <s v="TX500440"/>
    <x v="6"/>
    <x v="9"/>
    <n v="45.6"/>
    <x v="416"/>
    <x v="19"/>
    <d v="2025-01-22T00:00:00"/>
    <x v="2"/>
    <x v="0"/>
    <x v="2"/>
    <x v="0"/>
    <x v="8"/>
    <x v="1"/>
    <x v="3"/>
    <x v="2"/>
  </r>
  <r>
    <s v="TX500441"/>
    <x v="9"/>
    <x v="1"/>
    <n v="50.5"/>
    <x v="95"/>
    <x v="19"/>
    <d v="2025-01-22T00:00:00"/>
    <x v="1"/>
    <x v="0"/>
    <x v="1"/>
    <x v="0"/>
    <x v="17"/>
    <x v="1"/>
    <x v="3"/>
    <x v="1"/>
  </r>
  <r>
    <s v="TX500442"/>
    <x v="2"/>
    <x v="7"/>
    <n v="99.8"/>
    <x v="417"/>
    <x v="19"/>
    <d v="2025-01-23T00:00:00"/>
    <x v="2"/>
    <x v="2"/>
    <x v="1"/>
    <x v="0"/>
    <x v="17"/>
    <x v="2"/>
    <x v="3"/>
    <x v="2"/>
  </r>
  <r>
    <s v="TX500443"/>
    <x v="8"/>
    <x v="20"/>
    <n v="19.2"/>
    <x v="346"/>
    <x v="19"/>
    <d v="2025-01-22T00:00:00"/>
    <x v="3"/>
    <x v="4"/>
    <x v="1"/>
    <x v="0"/>
    <x v="26"/>
    <x v="1"/>
    <x v="3"/>
    <x v="3"/>
  </r>
  <r>
    <s v="TX500444"/>
    <x v="17"/>
    <x v="2"/>
    <n v="22.6"/>
    <x v="418"/>
    <x v="19"/>
    <d v="2025-01-21T00:00:00"/>
    <x v="1"/>
    <x v="1"/>
    <x v="0"/>
    <x v="0"/>
    <x v="11"/>
    <x v="3"/>
    <x v="3"/>
    <x v="1"/>
  </r>
  <r>
    <s v="TX500445"/>
    <x v="1"/>
    <x v="20"/>
    <n v="126.9"/>
    <x v="419"/>
    <x v="19"/>
    <d v="2025-01-22T00:00:00"/>
    <x v="2"/>
    <x v="0"/>
    <x v="2"/>
    <x v="0"/>
    <x v="11"/>
    <x v="1"/>
    <x v="3"/>
    <x v="2"/>
  </r>
  <r>
    <s v="TX500446"/>
    <x v="2"/>
    <x v="1"/>
    <n v="100.3"/>
    <x v="420"/>
    <x v="19"/>
    <d v="2025-01-21T00:00:00"/>
    <x v="2"/>
    <x v="0"/>
    <x v="1"/>
    <x v="0"/>
    <x v="11"/>
    <x v="3"/>
    <x v="3"/>
    <x v="2"/>
  </r>
  <r>
    <s v="TX500447"/>
    <x v="4"/>
    <x v="16"/>
    <n v="24.6"/>
    <x v="421"/>
    <x v="19"/>
    <d v="2025-01-21T00:00:00"/>
    <x v="2"/>
    <x v="4"/>
    <x v="0"/>
    <x v="0"/>
    <x v="13"/>
    <x v="3"/>
    <x v="3"/>
    <x v="2"/>
  </r>
  <r>
    <s v="TX500448"/>
    <x v="6"/>
    <x v="1"/>
    <n v="47.3"/>
    <x v="422"/>
    <x v="19"/>
    <d v="2025-01-21T00:00:00"/>
    <x v="1"/>
    <x v="1"/>
    <x v="2"/>
    <x v="0"/>
    <x v="13"/>
    <x v="3"/>
    <x v="3"/>
    <x v="1"/>
  </r>
  <r>
    <s v="TX500449"/>
    <x v="6"/>
    <x v="3"/>
    <n v="40.799999999999997"/>
    <x v="423"/>
    <x v="19"/>
    <d v="2025-01-23T00:00:00"/>
    <x v="2"/>
    <x v="2"/>
    <x v="2"/>
    <x v="0"/>
    <x v="21"/>
    <x v="2"/>
    <x v="3"/>
    <x v="2"/>
  </r>
  <r>
    <s v="TX500450"/>
    <x v="8"/>
    <x v="8"/>
    <n v="49.2"/>
    <x v="424"/>
    <x v="19"/>
    <d v="2025-01-22T00:00:00"/>
    <x v="2"/>
    <x v="0"/>
    <x v="0"/>
    <x v="0"/>
    <x v="1"/>
    <x v="1"/>
    <x v="3"/>
    <x v="2"/>
  </r>
  <r>
    <s v="TX500451"/>
    <x v="8"/>
    <x v="0"/>
    <n v="28.5"/>
    <x v="425"/>
    <x v="19"/>
    <d v="2025-01-22T00:00:00"/>
    <x v="0"/>
    <x v="2"/>
    <x v="1"/>
    <x v="0"/>
    <x v="3"/>
    <x v="1"/>
    <x v="3"/>
    <x v="0"/>
  </r>
  <r>
    <s v="TX500452"/>
    <x v="18"/>
    <x v="1"/>
    <n v="36.799999999999997"/>
    <x v="426"/>
    <x v="19"/>
    <d v="2025-01-26T00:00:00"/>
    <x v="2"/>
    <x v="0"/>
    <x v="2"/>
    <x v="0"/>
    <x v="3"/>
    <x v="4"/>
    <x v="3"/>
    <x v="2"/>
  </r>
  <r>
    <s v="TX500453"/>
    <x v="7"/>
    <x v="2"/>
    <n v="33.5"/>
    <x v="427"/>
    <x v="19"/>
    <d v="2025-01-21T00:00:00"/>
    <x v="2"/>
    <x v="0"/>
    <x v="1"/>
    <x v="0"/>
    <x v="3"/>
    <x v="3"/>
    <x v="3"/>
    <x v="2"/>
  </r>
  <r>
    <s v="TX500454"/>
    <x v="6"/>
    <x v="13"/>
    <n v="62.5"/>
    <x v="428"/>
    <x v="19"/>
    <d v="2025-01-22T00:00:00"/>
    <x v="2"/>
    <x v="0"/>
    <x v="0"/>
    <x v="0"/>
    <x v="3"/>
    <x v="1"/>
    <x v="3"/>
    <x v="2"/>
  </r>
  <r>
    <s v="TX500455"/>
    <x v="8"/>
    <x v="29"/>
    <n v="47.9"/>
    <x v="429"/>
    <x v="19"/>
    <d v="2025-01-21T00:00:00"/>
    <x v="2"/>
    <x v="3"/>
    <x v="0"/>
    <x v="0"/>
    <x v="3"/>
    <x v="3"/>
    <x v="3"/>
    <x v="2"/>
  </r>
  <r>
    <s v="TX500456"/>
    <x v="6"/>
    <x v="13"/>
    <n v="92.9"/>
    <x v="430"/>
    <x v="19"/>
    <d v="2025-01-31T00:00:00"/>
    <x v="2"/>
    <x v="0"/>
    <x v="4"/>
    <x v="0"/>
    <x v="3"/>
    <x v="11"/>
    <x v="3"/>
    <x v="2"/>
  </r>
  <r>
    <s v="TX500457"/>
    <x v="12"/>
    <x v="2"/>
    <n v="44.1"/>
    <x v="431"/>
    <x v="19"/>
    <d v="2025-01-20T00:00:00"/>
    <x v="2"/>
    <x v="1"/>
    <x v="1"/>
    <x v="0"/>
    <x v="43"/>
    <x v="7"/>
    <x v="3"/>
    <x v="2"/>
  </r>
  <r>
    <s v="TX500458"/>
    <x v="0"/>
    <x v="0"/>
    <n v="11.4"/>
    <x v="432"/>
    <x v="20"/>
    <d v="2025-01-23T00:00:00"/>
    <x v="2"/>
    <x v="2"/>
    <x v="0"/>
    <x v="0"/>
    <x v="5"/>
    <x v="1"/>
    <x v="3"/>
    <x v="2"/>
  </r>
  <r>
    <s v="TX500459"/>
    <x v="6"/>
    <x v="0"/>
    <n v="83.7"/>
    <x v="433"/>
    <x v="20"/>
    <d v="2025-01-23T00:00:00"/>
    <x v="2"/>
    <x v="0"/>
    <x v="2"/>
    <x v="0"/>
    <x v="6"/>
    <x v="1"/>
    <x v="3"/>
    <x v="2"/>
  </r>
  <r>
    <s v="TX500460"/>
    <x v="10"/>
    <x v="1"/>
    <n v="23.2"/>
    <x v="434"/>
    <x v="20"/>
    <d v="2025-01-22T00:00:00"/>
    <x v="1"/>
    <x v="2"/>
    <x v="0"/>
    <x v="0"/>
    <x v="8"/>
    <x v="3"/>
    <x v="3"/>
    <x v="1"/>
  </r>
  <r>
    <s v="TX500461"/>
    <x v="2"/>
    <x v="0"/>
    <n v="162.1"/>
    <x v="435"/>
    <x v="20"/>
    <d v="2025-01-24T00:00:00"/>
    <x v="2"/>
    <x v="0"/>
    <x v="2"/>
    <x v="0"/>
    <x v="9"/>
    <x v="2"/>
    <x v="3"/>
    <x v="2"/>
  </r>
  <r>
    <s v="TX500462"/>
    <x v="6"/>
    <x v="12"/>
    <n v="49.2"/>
    <x v="436"/>
    <x v="20"/>
    <d v="2025-01-25T00:00:00"/>
    <x v="1"/>
    <x v="1"/>
    <x v="0"/>
    <x v="0"/>
    <x v="9"/>
    <x v="5"/>
    <x v="3"/>
    <x v="1"/>
  </r>
  <r>
    <s v="TX500463"/>
    <x v="1"/>
    <x v="1"/>
    <n v="61"/>
    <x v="164"/>
    <x v="20"/>
    <d v="2025-01-22T00:00:00"/>
    <x v="1"/>
    <x v="3"/>
    <x v="0"/>
    <x v="0"/>
    <x v="10"/>
    <x v="3"/>
    <x v="3"/>
    <x v="1"/>
  </r>
  <r>
    <s v="TX500464"/>
    <x v="2"/>
    <x v="7"/>
    <n v="53.1"/>
    <x v="437"/>
    <x v="20"/>
    <d v="2025-01-23T00:00:00"/>
    <x v="1"/>
    <x v="0"/>
    <x v="0"/>
    <x v="0"/>
    <x v="11"/>
    <x v="1"/>
    <x v="3"/>
    <x v="1"/>
  </r>
  <r>
    <s v="TX500465"/>
    <x v="4"/>
    <x v="1"/>
    <n v="22.4"/>
    <x v="438"/>
    <x v="20"/>
    <d v="2025-01-23T00:00:00"/>
    <x v="0"/>
    <x v="1"/>
    <x v="2"/>
    <x v="0"/>
    <x v="13"/>
    <x v="1"/>
    <x v="3"/>
    <x v="0"/>
  </r>
  <r>
    <s v="TX500466"/>
    <x v="1"/>
    <x v="9"/>
    <n v="75.3"/>
    <x v="439"/>
    <x v="20"/>
    <d v="2025-01-22T00:00:00"/>
    <x v="1"/>
    <x v="0"/>
    <x v="0"/>
    <x v="0"/>
    <x v="21"/>
    <x v="3"/>
    <x v="3"/>
    <x v="1"/>
  </r>
  <r>
    <s v="TX500467"/>
    <x v="6"/>
    <x v="0"/>
    <n v="48.5"/>
    <x v="319"/>
    <x v="20"/>
    <d v="2025-01-22T00:00:00"/>
    <x v="2"/>
    <x v="0"/>
    <x v="1"/>
    <x v="0"/>
    <x v="21"/>
    <x v="3"/>
    <x v="3"/>
    <x v="2"/>
  </r>
  <r>
    <s v="TX500468"/>
    <x v="6"/>
    <x v="0"/>
    <n v="42.6"/>
    <x v="440"/>
    <x v="20"/>
    <d v="2025-01-25T00:00:00"/>
    <x v="2"/>
    <x v="3"/>
    <x v="0"/>
    <x v="0"/>
    <x v="1"/>
    <x v="5"/>
    <x v="3"/>
    <x v="2"/>
  </r>
  <r>
    <s v="TX500469"/>
    <x v="5"/>
    <x v="9"/>
    <n v="49"/>
    <x v="441"/>
    <x v="20"/>
    <d v="2025-01-22T00:00:00"/>
    <x v="1"/>
    <x v="0"/>
    <x v="0"/>
    <x v="0"/>
    <x v="22"/>
    <x v="3"/>
    <x v="3"/>
    <x v="1"/>
  </r>
  <r>
    <s v="TX500470"/>
    <x v="8"/>
    <x v="2"/>
    <n v="31.3"/>
    <x v="442"/>
    <x v="20"/>
    <d v="2025-01-22T00:00:00"/>
    <x v="1"/>
    <x v="2"/>
    <x v="1"/>
    <x v="0"/>
    <x v="3"/>
    <x v="3"/>
    <x v="3"/>
    <x v="1"/>
  </r>
  <r>
    <s v="TX500471"/>
    <x v="2"/>
    <x v="1"/>
    <n v="85.4"/>
    <x v="443"/>
    <x v="20"/>
    <d v="2025-01-22T00:00:00"/>
    <x v="2"/>
    <x v="2"/>
    <x v="0"/>
    <x v="0"/>
    <x v="3"/>
    <x v="3"/>
    <x v="3"/>
    <x v="2"/>
  </r>
  <r>
    <s v="TX500472"/>
    <x v="8"/>
    <x v="12"/>
    <n v="40"/>
    <x v="444"/>
    <x v="20"/>
    <d v="2025-01-22T00:00:00"/>
    <x v="3"/>
    <x v="0"/>
    <x v="2"/>
    <x v="0"/>
    <x v="3"/>
    <x v="3"/>
    <x v="3"/>
    <x v="3"/>
  </r>
  <r>
    <s v="TX500473"/>
    <x v="5"/>
    <x v="1"/>
    <n v="38.5"/>
    <x v="445"/>
    <x v="20"/>
    <d v="2025-01-24T00:00:00"/>
    <x v="1"/>
    <x v="1"/>
    <x v="2"/>
    <x v="0"/>
    <x v="3"/>
    <x v="2"/>
    <x v="3"/>
    <x v="1"/>
  </r>
  <r>
    <s v="TX500474"/>
    <x v="2"/>
    <x v="1"/>
    <n v="57.8"/>
    <x v="446"/>
    <x v="20"/>
    <d v="2025-01-22T00:00:00"/>
    <x v="0"/>
    <x v="0"/>
    <x v="0"/>
    <x v="0"/>
    <x v="3"/>
    <x v="3"/>
    <x v="3"/>
    <x v="0"/>
  </r>
  <r>
    <s v="TX500475"/>
    <x v="8"/>
    <x v="0"/>
    <n v="19.2"/>
    <x v="447"/>
    <x v="20"/>
    <d v="2025-01-22T00:00:00"/>
    <x v="2"/>
    <x v="0"/>
    <x v="4"/>
    <x v="0"/>
    <x v="3"/>
    <x v="3"/>
    <x v="3"/>
    <x v="2"/>
  </r>
  <r>
    <s v="TX500476"/>
    <x v="6"/>
    <x v="13"/>
    <n v="114.8"/>
    <x v="448"/>
    <x v="20"/>
    <d v="2025-01-24T00:00:00"/>
    <x v="1"/>
    <x v="1"/>
    <x v="1"/>
    <x v="0"/>
    <x v="3"/>
    <x v="2"/>
    <x v="3"/>
    <x v="1"/>
  </r>
  <r>
    <s v="TX500477"/>
    <x v="10"/>
    <x v="3"/>
    <n v="48.4"/>
    <x v="449"/>
    <x v="20"/>
    <d v="2025-01-24T00:00:00"/>
    <x v="2"/>
    <x v="3"/>
    <x v="1"/>
    <x v="0"/>
    <x v="3"/>
    <x v="2"/>
    <x v="3"/>
    <x v="2"/>
  </r>
  <r>
    <s v="TX500478"/>
    <x v="9"/>
    <x v="9"/>
    <n v="73.2"/>
    <x v="450"/>
    <x v="20"/>
    <d v="2025-01-22T00:00:00"/>
    <x v="2"/>
    <x v="1"/>
    <x v="4"/>
    <x v="0"/>
    <x v="3"/>
    <x v="3"/>
    <x v="3"/>
    <x v="2"/>
  </r>
  <r>
    <s v="TX500479"/>
    <x v="15"/>
    <x v="1"/>
    <n v="48.6"/>
    <x v="451"/>
    <x v="20"/>
    <d v="2025-01-25T00:00:00"/>
    <x v="2"/>
    <x v="3"/>
    <x v="0"/>
    <x v="0"/>
    <x v="3"/>
    <x v="5"/>
    <x v="3"/>
    <x v="2"/>
  </r>
  <r>
    <s v="TX500480"/>
    <x v="0"/>
    <x v="13"/>
    <n v="48.7"/>
    <x v="452"/>
    <x v="20"/>
    <d v="2025-01-22T00:00:00"/>
    <x v="1"/>
    <x v="0"/>
    <x v="0"/>
    <x v="0"/>
    <x v="3"/>
    <x v="3"/>
    <x v="3"/>
    <x v="1"/>
  </r>
  <r>
    <s v="TX500481"/>
    <x v="4"/>
    <x v="1"/>
    <n v="32.200000000000003"/>
    <x v="453"/>
    <x v="20"/>
    <d v="2025-01-24T00:00:00"/>
    <x v="1"/>
    <x v="2"/>
    <x v="2"/>
    <x v="0"/>
    <x v="3"/>
    <x v="2"/>
    <x v="3"/>
    <x v="1"/>
  </r>
  <r>
    <s v="TX500482"/>
    <x v="15"/>
    <x v="8"/>
    <n v="25.8"/>
    <x v="454"/>
    <x v="20"/>
    <d v="2025-01-22T00:00:00"/>
    <x v="1"/>
    <x v="0"/>
    <x v="0"/>
    <x v="0"/>
    <x v="37"/>
    <x v="3"/>
    <x v="3"/>
    <x v="1"/>
  </r>
  <r>
    <s v="TX500483"/>
    <x v="6"/>
    <x v="1"/>
    <n v="94.8"/>
    <x v="455"/>
    <x v="21"/>
    <d v="2025-01-25T00:00:00"/>
    <x v="2"/>
    <x v="1"/>
    <x v="1"/>
    <x v="0"/>
    <x v="25"/>
    <x v="2"/>
    <x v="3"/>
    <x v="2"/>
  </r>
  <r>
    <s v="TX500484"/>
    <x v="15"/>
    <x v="30"/>
    <n v="56.8"/>
    <x v="456"/>
    <x v="21"/>
    <d v="2025-01-25T00:00:00"/>
    <x v="1"/>
    <x v="0"/>
    <x v="0"/>
    <x v="0"/>
    <x v="25"/>
    <x v="2"/>
    <x v="3"/>
    <x v="1"/>
  </r>
  <r>
    <s v="TX500485"/>
    <x v="8"/>
    <x v="27"/>
    <n v="18.3"/>
    <x v="457"/>
    <x v="21"/>
    <d v="2025-01-29T00:00:00"/>
    <x v="2"/>
    <x v="2"/>
    <x v="2"/>
    <x v="0"/>
    <x v="23"/>
    <x v="6"/>
    <x v="3"/>
    <x v="2"/>
  </r>
  <r>
    <s v="TX500486"/>
    <x v="0"/>
    <x v="2"/>
    <n v="16.8"/>
    <x v="458"/>
    <x v="21"/>
    <d v="2025-01-27T00:00:00"/>
    <x v="2"/>
    <x v="2"/>
    <x v="2"/>
    <x v="0"/>
    <x v="8"/>
    <x v="0"/>
    <x v="3"/>
    <x v="2"/>
  </r>
  <r>
    <s v="TX500487"/>
    <x v="5"/>
    <x v="5"/>
    <n v="35.799999999999997"/>
    <x v="459"/>
    <x v="21"/>
    <d v="2025-01-23T00:00:00"/>
    <x v="1"/>
    <x v="1"/>
    <x v="0"/>
    <x v="0"/>
    <x v="17"/>
    <x v="3"/>
    <x v="3"/>
    <x v="1"/>
  </r>
  <r>
    <s v="TX500488"/>
    <x v="18"/>
    <x v="0"/>
    <n v="64.900000000000006"/>
    <x v="460"/>
    <x v="21"/>
    <d v="2025-01-23T00:00:00"/>
    <x v="1"/>
    <x v="0"/>
    <x v="1"/>
    <x v="0"/>
    <x v="17"/>
    <x v="3"/>
    <x v="3"/>
    <x v="1"/>
  </r>
  <r>
    <s v="TX500489"/>
    <x v="18"/>
    <x v="0"/>
    <n v="28.5"/>
    <x v="425"/>
    <x v="21"/>
    <d v="2025-01-24T00:00:00"/>
    <x v="0"/>
    <x v="1"/>
    <x v="0"/>
    <x v="0"/>
    <x v="9"/>
    <x v="1"/>
    <x v="3"/>
    <x v="0"/>
  </r>
  <r>
    <s v="TX500490"/>
    <x v="18"/>
    <x v="1"/>
    <n v="103.5"/>
    <x v="461"/>
    <x v="21"/>
    <d v="2025-01-24T00:00:00"/>
    <x v="2"/>
    <x v="1"/>
    <x v="0"/>
    <x v="0"/>
    <x v="10"/>
    <x v="1"/>
    <x v="3"/>
    <x v="2"/>
  </r>
  <r>
    <s v="TX500491"/>
    <x v="4"/>
    <x v="1"/>
    <n v="41.2"/>
    <x v="462"/>
    <x v="21"/>
    <d v="2025-01-23T00:00:00"/>
    <x v="2"/>
    <x v="1"/>
    <x v="0"/>
    <x v="0"/>
    <x v="10"/>
    <x v="3"/>
    <x v="3"/>
    <x v="2"/>
  </r>
  <r>
    <s v="TX500492"/>
    <x v="9"/>
    <x v="0"/>
    <n v="37.799999999999997"/>
    <x v="463"/>
    <x v="21"/>
    <d v="2025-01-24T00:00:00"/>
    <x v="2"/>
    <x v="3"/>
    <x v="3"/>
    <x v="0"/>
    <x v="11"/>
    <x v="1"/>
    <x v="3"/>
    <x v="2"/>
  </r>
  <r>
    <s v="TX500493"/>
    <x v="8"/>
    <x v="1"/>
    <n v="42.6"/>
    <x v="464"/>
    <x v="21"/>
    <d v="2025-01-24T00:00:00"/>
    <x v="2"/>
    <x v="4"/>
    <x v="0"/>
    <x v="0"/>
    <x v="11"/>
    <x v="1"/>
    <x v="3"/>
    <x v="2"/>
  </r>
  <r>
    <s v="TX500494"/>
    <x v="8"/>
    <x v="7"/>
    <n v="15.2"/>
    <x v="465"/>
    <x v="21"/>
    <d v="2025-01-24T00:00:00"/>
    <x v="2"/>
    <x v="2"/>
    <x v="0"/>
    <x v="0"/>
    <x v="11"/>
    <x v="1"/>
    <x v="3"/>
    <x v="2"/>
  </r>
  <r>
    <s v="TX500495"/>
    <x v="7"/>
    <x v="12"/>
    <n v="83.4"/>
    <x v="335"/>
    <x v="21"/>
    <d v="2025-01-23T00:00:00"/>
    <x v="2"/>
    <x v="2"/>
    <x v="1"/>
    <x v="0"/>
    <x v="18"/>
    <x v="3"/>
    <x v="3"/>
    <x v="2"/>
  </r>
  <r>
    <s v="TX500496"/>
    <x v="19"/>
    <x v="1"/>
    <n v="27.7"/>
    <x v="466"/>
    <x v="21"/>
    <d v="2025-01-23T00:00:00"/>
    <x v="2"/>
    <x v="0"/>
    <x v="1"/>
    <x v="0"/>
    <x v="13"/>
    <x v="3"/>
    <x v="3"/>
    <x v="2"/>
  </r>
  <r>
    <s v="TX500497"/>
    <x v="10"/>
    <x v="4"/>
    <n v="20.8"/>
    <x v="467"/>
    <x v="21"/>
    <d v="2025-01-23T00:00:00"/>
    <x v="1"/>
    <x v="3"/>
    <x v="0"/>
    <x v="0"/>
    <x v="13"/>
    <x v="3"/>
    <x v="3"/>
    <x v="1"/>
  </r>
  <r>
    <s v="TX500498"/>
    <x v="11"/>
    <x v="1"/>
    <n v="72.7"/>
    <x v="468"/>
    <x v="21"/>
    <d v="2025-01-26T00:00:00"/>
    <x v="2"/>
    <x v="4"/>
    <x v="2"/>
    <x v="0"/>
    <x v="44"/>
    <x v="5"/>
    <x v="3"/>
    <x v="2"/>
  </r>
  <r>
    <s v="TX500499"/>
    <x v="10"/>
    <x v="12"/>
    <n v="38.6"/>
    <x v="55"/>
    <x v="21"/>
    <d v="2025-01-23T00:00:00"/>
    <x v="1"/>
    <x v="0"/>
    <x v="2"/>
    <x v="0"/>
    <x v="22"/>
    <x v="3"/>
    <x v="3"/>
    <x v="1"/>
  </r>
  <r>
    <s v="TX500500"/>
    <x v="8"/>
    <x v="3"/>
    <n v="33.1"/>
    <x v="217"/>
    <x v="21"/>
    <d v="2025-01-23T00:00:00"/>
    <x v="3"/>
    <x v="4"/>
    <x v="3"/>
    <x v="0"/>
    <x v="3"/>
    <x v="3"/>
    <x v="3"/>
    <x v="3"/>
  </r>
  <r>
    <s v="TX500501"/>
    <x v="10"/>
    <x v="1"/>
    <n v="30.5"/>
    <x v="170"/>
    <x v="21"/>
    <d v="2025-01-22T00:00:00"/>
    <x v="0"/>
    <x v="1"/>
    <x v="1"/>
    <x v="0"/>
    <x v="3"/>
    <x v="7"/>
    <x v="3"/>
    <x v="0"/>
  </r>
  <r>
    <s v="TX500502"/>
    <x v="9"/>
    <x v="1"/>
    <n v="69.599999999999994"/>
    <x v="388"/>
    <x v="21"/>
    <d v="2025-01-23T00:00:00"/>
    <x v="1"/>
    <x v="0"/>
    <x v="1"/>
    <x v="0"/>
    <x v="3"/>
    <x v="3"/>
    <x v="3"/>
    <x v="1"/>
  </r>
  <r>
    <s v="TX500503"/>
    <x v="11"/>
    <x v="0"/>
    <n v="42.4"/>
    <x v="469"/>
    <x v="21"/>
    <d v="2025-01-26T00:00:00"/>
    <x v="2"/>
    <x v="1"/>
    <x v="0"/>
    <x v="0"/>
    <x v="3"/>
    <x v="5"/>
    <x v="3"/>
    <x v="2"/>
  </r>
  <r>
    <s v="TX500504"/>
    <x v="17"/>
    <x v="0"/>
    <n v="32.200000000000003"/>
    <x v="390"/>
    <x v="21"/>
    <d v="2025-01-25T00:00:00"/>
    <x v="2"/>
    <x v="2"/>
    <x v="1"/>
    <x v="0"/>
    <x v="3"/>
    <x v="2"/>
    <x v="3"/>
    <x v="2"/>
  </r>
  <r>
    <s v="TX500505"/>
    <x v="6"/>
    <x v="1"/>
    <n v="41.5"/>
    <x v="470"/>
    <x v="21"/>
    <d v="2025-01-25T00:00:00"/>
    <x v="2"/>
    <x v="0"/>
    <x v="2"/>
    <x v="0"/>
    <x v="3"/>
    <x v="2"/>
    <x v="3"/>
    <x v="2"/>
  </r>
  <r>
    <s v="TX500506"/>
    <x v="16"/>
    <x v="11"/>
    <n v="58.9"/>
    <x v="471"/>
    <x v="21"/>
    <d v="2025-01-26T00:00:00"/>
    <x v="2"/>
    <x v="3"/>
    <x v="0"/>
    <x v="0"/>
    <x v="3"/>
    <x v="5"/>
    <x v="3"/>
    <x v="2"/>
  </r>
  <r>
    <s v="TX500507"/>
    <x v="2"/>
    <x v="0"/>
    <n v="57.1"/>
    <x v="472"/>
    <x v="21"/>
    <d v="2025-01-25T00:00:00"/>
    <x v="2"/>
    <x v="1"/>
    <x v="0"/>
    <x v="0"/>
    <x v="3"/>
    <x v="2"/>
    <x v="3"/>
    <x v="2"/>
  </r>
  <r>
    <s v="TX500508"/>
    <x v="6"/>
    <x v="0"/>
    <n v="57.2"/>
    <x v="473"/>
    <x v="21"/>
    <d v="2025-01-24T00:00:00"/>
    <x v="1"/>
    <x v="1"/>
    <x v="0"/>
    <x v="0"/>
    <x v="3"/>
    <x v="1"/>
    <x v="3"/>
    <x v="1"/>
  </r>
  <r>
    <s v="TX500509"/>
    <x v="8"/>
    <x v="1"/>
    <n v="35.1"/>
    <x v="474"/>
    <x v="21"/>
    <d v="2025-01-23T00:00:00"/>
    <x v="1"/>
    <x v="1"/>
    <x v="0"/>
    <x v="0"/>
    <x v="6"/>
    <x v="3"/>
    <x v="3"/>
    <x v="1"/>
  </r>
  <r>
    <s v="TX500510"/>
    <x v="1"/>
    <x v="0"/>
    <n v="52.1"/>
    <x v="475"/>
    <x v="21"/>
    <d v="2025-01-24T00:00:00"/>
    <x v="2"/>
    <x v="4"/>
    <x v="1"/>
    <x v="0"/>
    <x v="8"/>
    <x v="1"/>
    <x v="3"/>
    <x v="2"/>
  </r>
  <r>
    <s v="TX500511"/>
    <x v="13"/>
    <x v="2"/>
    <n v="59.8"/>
    <x v="476"/>
    <x v="21"/>
    <d v="2025-01-24T00:00:00"/>
    <x v="2"/>
    <x v="4"/>
    <x v="1"/>
    <x v="0"/>
    <x v="8"/>
    <x v="1"/>
    <x v="3"/>
    <x v="2"/>
  </r>
  <r>
    <s v="TX500512"/>
    <x v="3"/>
    <x v="12"/>
    <n v="83.3"/>
    <x v="477"/>
    <x v="21"/>
    <d v="2025-01-22T00:00:00"/>
    <x v="0"/>
    <x v="2"/>
    <x v="0"/>
    <x v="0"/>
    <x v="8"/>
    <x v="7"/>
    <x v="3"/>
    <x v="0"/>
  </r>
  <r>
    <s v="TX500513"/>
    <x v="15"/>
    <x v="4"/>
    <n v="41.3"/>
    <x v="478"/>
    <x v="21"/>
    <d v="2025-01-23T00:00:00"/>
    <x v="2"/>
    <x v="1"/>
    <x v="0"/>
    <x v="0"/>
    <x v="8"/>
    <x v="3"/>
    <x v="3"/>
    <x v="2"/>
  </r>
  <r>
    <s v="TX500514"/>
    <x v="8"/>
    <x v="9"/>
    <n v="16"/>
    <x v="479"/>
    <x v="21"/>
    <d v="2025-01-24T00:00:00"/>
    <x v="1"/>
    <x v="4"/>
    <x v="1"/>
    <x v="0"/>
    <x v="9"/>
    <x v="1"/>
    <x v="3"/>
    <x v="1"/>
  </r>
  <r>
    <s v="TX500515"/>
    <x v="10"/>
    <x v="1"/>
    <n v="20.8"/>
    <x v="480"/>
    <x v="22"/>
    <d v="2025-01-25T00:00:00"/>
    <x v="1"/>
    <x v="0"/>
    <x v="2"/>
    <x v="0"/>
    <x v="11"/>
    <x v="1"/>
    <x v="3"/>
    <x v="1"/>
  </r>
  <r>
    <s v="TX500516"/>
    <x v="8"/>
    <x v="31"/>
    <n v="27.1"/>
    <x v="481"/>
    <x v="22"/>
    <d v="2025-01-24T00:00:00"/>
    <x v="0"/>
    <x v="3"/>
    <x v="2"/>
    <x v="0"/>
    <x v="11"/>
    <x v="3"/>
    <x v="3"/>
    <x v="0"/>
  </r>
  <r>
    <s v="TX500517"/>
    <x v="10"/>
    <x v="1"/>
    <n v="38.9"/>
    <x v="482"/>
    <x v="22"/>
    <d v="2025-01-25T00:00:00"/>
    <x v="2"/>
    <x v="0"/>
    <x v="0"/>
    <x v="0"/>
    <x v="18"/>
    <x v="1"/>
    <x v="3"/>
    <x v="2"/>
  </r>
  <r>
    <s v="TX500518"/>
    <x v="0"/>
    <x v="1"/>
    <n v="10.8"/>
    <x v="483"/>
    <x v="22"/>
    <d v="2025-01-26T00:00:00"/>
    <x v="2"/>
    <x v="1"/>
    <x v="2"/>
    <x v="0"/>
    <x v="45"/>
    <x v="2"/>
    <x v="3"/>
    <x v="2"/>
  </r>
  <r>
    <s v="TX500519"/>
    <x v="4"/>
    <x v="15"/>
    <n v="48.4"/>
    <x v="484"/>
    <x v="22"/>
    <d v="2025-01-27T00:00:00"/>
    <x v="2"/>
    <x v="0"/>
    <x v="0"/>
    <x v="0"/>
    <x v="21"/>
    <x v="5"/>
    <x v="3"/>
    <x v="2"/>
  </r>
  <r>
    <s v="TX500520"/>
    <x v="4"/>
    <x v="2"/>
    <n v="29.2"/>
    <x v="485"/>
    <x v="22"/>
    <d v="2025-01-26T00:00:00"/>
    <x v="2"/>
    <x v="1"/>
    <x v="1"/>
    <x v="0"/>
    <x v="2"/>
    <x v="2"/>
    <x v="3"/>
    <x v="2"/>
  </r>
  <r>
    <s v="TX500521"/>
    <x v="4"/>
    <x v="1"/>
    <n v="25.1"/>
    <x v="486"/>
    <x v="22"/>
    <d v="2025-01-24T00:00:00"/>
    <x v="1"/>
    <x v="0"/>
    <x v="1"/>
    <x v="0"/>
    <x v="2"/>
    <x v="3"/>
    <x v="3"/>
    <x v="1"/>
  </r>
  <r>
    <s v="TX500522"/>
    <x v="7"/>
    <x v="2"/>
    <n v="65.599999999999994"/>
    <x v="487"/>
    <x v="22"/>
    <d v="2025-01-23T00:00:00"/>
    <x v="2"/>
    <x v="2"/>
    <x v="1"/>
    <x v="0"/>
    <x v="3"/>
    <x v="7"/>
    <x v="3"/>
    <x v="2"/>
  </r>
  <r>
    <s v="TX500523"/>
    <x v="2"/>
    <x v="1"/>
    <n v="57.3"/>
    <x v="488"/>
    <x v="22"/>
    <d v="2025-01-23T00:00:00"/>
    <x v="0"/>
    <x v="0"/>
    <x v="0"/>
    <x v="0"/>
    <x v="3"/>
    <x v="7"/>
    <x v="3"/>
    <x v="0"/>
  </r>
  <r>
    <s v="TX500524"/>
    <x v="9"/>
    <x v="12"/>
    <n v="22.4"/>
    <x v="70"/>
    <x v="22"/>
    <d v="2025-01-24T00:00:00"/>
    <x v="2"/>
    <x v="2"/>
    <x v="2"/>
    <x v="0"/>
    <x v="3"/>
    <x v="3"/>
    <x v="3"/>
    <x v="2"/>
  </r>
  <r>
    <s v="TX500525"/>
    <x v="12"/>
    <x v="11"/>
    <n v="45.7"/>
    <x v="489"/>
    <x v="22"/>
    <d v="2025-01-24T00:00:00"/>
    <x v="2"/>
    <x v="0"/>
    <x v="0"/>
    <x v="0"/>
    <x v="3"/>
    <x v="3"/>
    <x v="3"/>
    <x v="2"/>
  </r>
  <r>
    <s v="TX500526"/>
    <x v="8"/>
    <x v="1"/>
    <n v="29.3"/>
    <x v="150"/>
    <x v="22"/>
    <d v="2025-01-24T00:00:00"/>
    <x v="1"/>
    <x v="1"/>
    <x v="0"/>
    <x v="0"/>
    <x v="3"/>
    <x v="3"/>
    <x v="3"/>
    <x v="1"/>
  </r>
  <r>
    <s v="TX500527"/>
    <x v="18"/>
    <x v="32"/>
    <n v="74"/>
    <x v="490"/>
    <x v="22"/>
    <d v="2025-01-24T00:00:00"/>
    <x v="1"/>
    <x v="0"/>
    <x v="2"/>
    <x v="0"/>
    <x v="3"/>
    <x v="3"/>
    <x v="3"/>
    <x v="1"/>
  </r>
  <r>
    <s v="TX500528"/>
    <x v="14"/>
    <x v="1"/>
    <n v="39.200000000000003"/>
    <x v="491"/>
    <x v="22"/>
    <d v="2025-01-25T00:00:00"/>
    <x v="2"/>
    <x v="1"/>
    <x v="0"/>
    <x v="0"/>
    <x v="3"/>
    <x v="1"/>
    <x v="3"/>
    <x v="2"/>
  </r>
  <r>
    <s v="TX500529"/>
    <x v="4"/>
    <x v="14"/>
    <n v="62.7"/>
    <x v="492"/>
    <x v="22"/>
    <d v="2025-01-24T00:00:00"/>
    <x v="2"/>
    <x v="2"/>
    <x v="1"/>
    <x v="0"/>
    <x v="3"/>
    <x v="3"/>
    <x v="3"/>
    <x v="2"/>
  </r>
  <r>
    <s v="TX500530"/>
    <x v="10"/>
    <x v="1"/>
    <n v="60.1"/>
    <x v="493"/>
    <x v="22"/>
    <d v="2025-01-24T00:00:00"/>
    <x v="2"/>
    <x v="3"/>
    <x v="0"/>
    <x v="0"/>
    <x v="3"/>
    <x v="3"/>
    <x v="3"/>
    <x v="2"/>
  </r>
  <r>
    <s v="TX500531"/>
    <x v="0"/>
    <x v="12"/>
    <n v="11.2"/>
    <x v="438"/>
    <x v="22"/>
    <d v="2025-01-24T00:00:00"/>
    <x v="2"/>
    <x v="3"/>
    <x v="1"/>
    <x v="0"/>
    <x v="3"/>
    <x v="3"/>
    <x v="3"/>
    <x v="2"/>
  </r>
  <r>
    <s v="TX500532"/>
    <x v="8"/>
    <x v="1"/>
    <n v="22.9"/>
    <x v="494"/>
    <x v="22"/>
    <d v="2025-01-24T00:00:00"/>
    <x v="2"/>
    <x v="0"/>
    <x v="0"/>
    <x v="0"/>
    <x v="6"/>
    <x v="3"/>
    <x v="3"/>
    <x v="2"/>
  </r>
  <r>
    <s v="TX500533"/>
    <x v="1"/>
    <x v="1"/>
    <n v="37.6"/>
    <x v="495"/>
    <x v="22"/>
    <d v="2025-01-26T00:00:00"/>
    <x v="2"/>
    <x v="0"/>
    <x v="0"/>
    <x v="0"/>
    <x v="6"/>
    <x v="2"/>
    <x v="3"/>
    <x v="2"/>
  </r>
  <r>
    <s v="TX500534"/>
    <x v="6"/>
    <x v="0"/>
    <n v="42.4"/>
    <x v="469"/>
    <x v="22"/>
    <d v="2025-01-24T00:00:00"/>
    <x v="2"/>
    <x v="3"/>
    <x v="2"/>
    <x v="0"/>
    <x v="6"/>
    <x v="3"/>
    <x v="3"/>
    <x v="2"/>
  </r>
  <r>
    <s v="TX500535"/>
    <x v="8"/>
    <x v="1"/>
    <n v="19.600000000000001"/>
    <x v="496"/>
    <x v="22"/>
    <d v="2025-01-27T00:00:00"/>
    <x v="2"/>
    <x v="2"/>
    <x v="0"/>
    <x v="0"/>
    <x v="7"/>
    <x v="5"/>
    <x v="3"/>
    <x v="2"/>
  </r>
  <r>
    <s v="TX500536"/>
    <x v="9"/>
    <x v="0"/>
    <n v="90.5"/>
    <x v="497"/>
    <x v="22"/>
    <d v="2025-01-26T00:00:00"/>
    <x v="2"/>
    <x v="2"/>
    <x v="0"/>
    <x v="0"/>
    <x v="7"/>
    <x v="2"/>
    <x v="3"/>
    <x v="2"/>
  </r>
  <r>
    <s v="TX500537"/>
    <x v="16"/>
    <x v="5"/>
    <n v="33.9"/>
    <x v="498"/>
    <x v="22"/>
    <d v="2025-01-24T00:00:00"/>
    <x v="1"/>
    <x v="2"/>
    <x v="1"/>
    <x v="0"/>
    <x v="7"/>
    <x v="3"/>
    <x v="3"/>
    <x v="1"/>
  </r>
  <r>
    <s v="TX500538"/>
    <x v="0"/>
    <x v="1"/>
    <n v="32.799999999999997"/>
    <x v="499"/>
    <x v="22"/>
    <d v="2025-01-25T00:00:00"/>
    <x v="2"/>
    <x v="4"/>
    <x v="4"/>
    <x v="0"/>
    <x v="8"/>
    <x v="1"/>
    <x v="3"/>
    <x v="2"/>
  </r>
  <r>
    <s v="TX500539"/>
    <x v="15"/>
    <x v="0"/>
    <n v="49.9"/>
    <x v="500"/>
    <x v="22"/>
    <d v="2025-01-24T00:00:00"/>
    <x v="1"/>
    <x v="3"/>
    <x v="1"/>
    <x v="0"/>
    <x v="8"/>
    <x v="3"/>
    <x v="3"/>
    <x v="1"/>
  </r>
  <r>
    <s v="TX500540"/>
    <x v="7"/>
    <x v="9"/>
    <n v="79.2"/>
    <x v="501"/>
    <x v="22"/>
    <d v="2025-01-24T00:00:00"/>
    <x v="2"/>
    <x v="4"/>
    <x v="0"/>
    <x v="0"/>
    <x v="8"/>
    <x v="3"/>
    <x v="3"/>
    <x v="2"/>
  </r>
  <r>
    <s v="TX500541"/>
    <x v="8"/>
    <x v="27"/>
    <n v="19.5"/>
    <x v="502"/>
    <x v="22"/>
    <d v="2025-01-25T00:00:00"/>
    <x v="1"/>
    <x v="3"/>
    <x v="2"/>
    <x v="0"/>
    <x v="8"/>
    <x v="1"/>
    <x v="3"/>
    <x v="1"/>
  </r>
  <r>
    <s v="TX500542"/>
    <x v="8"/>
    <x v="12"/>
    <n v="18"/>
    <x v="503"/>
    <x v="22"/>
    <d v="2025-01-24T00:00:00"/>
    <x v="1"/>
    <x v="1"/>
    <x v="0"/>
    <x v="0"/>
    <x v="10"/>
    <x v="3"/>
    <x v="3"/>
    <x v="1"/>
  </r>
  <r>
    <s v="TX500543"/>
    <x v="9"/>
    <x v="2"/>
    <n v="45.9"/>
    <x v="223"/>
    <x v="22"/>
    <d v="2025-01-25T00:00:00"/>
    <x v="2"/>
    <x v="1"/>
    <x v="1"/>
    <x v="0"/>
    <x v="10"/>
    <x v="1"/>
    <x v="3"/>
    <x v="2"/>
  </r>
  <r>
    <s v="TX500544"/>
    <x v="11"/>
    <x v="0"/>
    <n v="41.2"/>
    <x v="504"/>
    <x v="22"/>
    <d v="2025-01-25T00:00:00"/>
    <x v="2"/>
    <x v="1"/>
    <x v="2"/>
    <x v="0"/>
    <x v="11"/>
    <x v="1"/>
    <x v="3"/>
    <x v="2"/>
  </r>
  <r>
    <s v="TX500545"/>
    <x v="2"/>
    <x v="7"/>
    <n v="167.2"/>
    <x v="505"/>
    <x v="22"/>
    <d v="2025-01-25T00:00:00"/>
    <x v="2"/>
    <x v="2"/>
    <x v="2"/>
    <x v="0"/>
    <x v="32"/>
    <x v="1"/>
    <x v="3"/>
    <x v="2"/>
  </r>
  <r>
    <s v="TX500546"/>
    <x v="6"/>
    <x v="17"/>
    <n v="74.5"/>
    <x v="506"/>
    <x v="23"/>
    <d v="2025-01-27T00:00:00"/>
    <x v="2"/>
    <x v="1"/>
    <x v="2"/>
    <x v="0"/>
    <x v="38"/>
    <x v="2"/>
    <x v="3"/>
    <x v="2"/>
  </r>
  <r>
    <s v="TX500547"/>
    <x v="7"/>
    <x v="12"/>
    <n v="39.299999999999997"/>
    <x v="507"/>
    <x v="23"/>
    <d v="2025-01-25T00:00:00"/>
    <x v="0"/>
    <x v="2"/>
    <x v="0"/>
    <x v="0"/>
    <x v="19"/>
    <x v="3"/>
    <x v="3"/>
    <x v="0"/>
  </r>
  <r>
    <s v="TX500548"/>
    <x v="9"/>
    <x v="0"/>
    <n v="68.5"/>
    <x v="508"/>
    <x v="23"/>
    <d v="2025-01-27T00:00:00"/>
    <x v="1"/>
    <x v="1"/>
    <x v="2"/>
    <x v="0"/>
    <x v="12"/>
    <x v="2"/>
    <x v="3"/>
    <x v="1"/>
  </r>
  <r>
    <s v="TX500549"/>
    <x v="0"/>
    <x v="2"/>
    <n v="22.5"/>
    <x v="509"/>
    <x v="23"/>
    <d v="2025-01-24T00:00:00"/>
    <x v="2"/>
    <x v="4"/>
    <x v="0"/>
    <x v="0"/>
    <x v="13"/>
    <x v="7"/>
    <x v="3"/>
    <x v="2"/>
  </r>
  <r>
    <s v="TX500550"/>
    <x v="1"/>
    <x v="0"/>
    <n v="48"/>
    <x v="510"/>
    <x v="23"/>
    <d v="2025-01-25T00:00:00"/>
    <x v="3"/>
    <x v="4"/>
    <x v="1"/>
    <x v="0"/>
    <x v="46"/>
    <x v="3"/>
    <x v="3"/>
    <x v="3"/>
  </r>
  <r>
    <s v="TX500551"/>
    <x v="6"/>
    <x v="0"/>
    <n v="94"/>
    <x v="255"/>
    <x v="23"/>
    <d v="2025-01-25T00:00:00"/>
    <x v="1"/>
    <x v="3"/>
    <x v="1"/>
    <x v="0"/>
    <x v="1"/>
    <x v="3"/>
    <x v="3"/>
    <x v="1"/>
  </r>
  <r>
    <s v="TX500552"/>
    <x v="8"/>
    <x v="2"/>
    <n v="21.9"/>
    <x v="511"/>
    <x v="23"/>
    <d v="2025-01-25T00:00:00"/>
    <x v="2"/>
    <x v="0"/>
    <x v="0"/>
    <x v="0"/>
    <x v="44"/>
    <x v="3"/>
    <x v="3"/>
    <x v="2"/>
  </r>
  <r>
    <s v="TX500553"/>
    <x v="6"/>
    <x v="3"/>
    <n v="64.900000000000006"/>
    <x v="512"/>
    <x v="23"/>
    <d v="2025-01-25T00:00:00"/>
    <x v="2"/>
    <x v="0"/>
    <x v="0"/>
    <x v="0"/>
    <x v="3"/>
    <x v="3"/>
    <x v="3"/>
    <x v="2"/>
  </r>
  <r>
    <s v="TX500554"/>
    <x v="12"/>
    <x v="0"/>
    <n v="52.9"/>
    <x v="513"/>
    <x v="23"/>
    <d v="2025-01-24T00:00:00"/>
    <x v="2"/>
    <x v="1"/>
    <x v="1"/>
    <x v="0"/>
    <x v="3"/>
    <x v="7"/>
    <x v="3"/>
    <x v="2"/>
  </r>
  <r>
    <s v="TX500555"/>
    <x v="8"/>
    <x v="2"/>
    <n v="25.5"/>
    <x v="514"/>
    <x v="23"/>
    <d v="2025-01-25T00:00:00"/>
    <x v="2"/>
    <x v="1"/>
    <x v="2"/>
    <x v="0"/>
    <x v="3"/>
    <x v="3"/>
    <x v="3"/>
    <x v="2"/>
  </r>
  <r>
    <s v="TX500556"/>
    <x v="6"/>
    <x v="2"/>
    <n v="51.9"/>
    <x v="515"/>
    <x v="23"/>
    <d v="2025-01-25T00:00:00"/>
    <x v="2"/>
    <x v="3"/>
    <x v="0"/>
    <x v="0"/>
    <x v="3"/>
    <x v="3"/>
    <x v="3"/>
    <x v="2"/>
  </r>
  <r>
    <s v="TX500557"/>
    <x v="5"/>
    <x v="0"/>
    <n v="46.3"/>
    <x v="516"/>
    <x v="23"/>
    <d v="2025-01-27T00:00:00"/>
    <x v="2"/>
    <x v="4"/>
    <x v="0"/>
    <x v="0"/>
    <x v="3"/>
    <x v="2"/>
    <x v="3"/>
    <x v="2"/>
  </r>
  <r>
    <s v="TX500558"/>
    <x v="6"/>
    <x v="1"/>
    <n v="68.2"/>
    <x v="517"/>
    <x v="23"/>
    <d v="2025-01-26T00:00:00"/>
    <x v="2"/>
    <x v="3"/>
    <x v="0"/>
    <x v="0"/>
    <x v="3"/>
    <x v="1"/>
    <x v="3"/>
    <x v="2"/>
  </r>
  <r>
    <s v="TX500559"/>
    <x v="1"/>
    <x v="0"/>
    <n v="40.299999999999997"/>
    <x v="518"/>
    <x v="23"/>
    <d v="2025-01-25T00:00:00"/>
    <x v="1"/>
    <x v="0"/>
    <x v="1"/>
    <x v="0"/>
    <x v="3"/>
    <x v="3"/>
    <x v="3"/>
    <x v="1"/>
  </r>
  <r>
    <s v="TX500560"/>
    <x v="2"/>
    <x v="2"/>
    <n v="91.3"/>
    <x v="54"/>
    <x v="23"/>
    <d v="2025-01-29T00:00:00"/>
    <x v="1"/>
    <x v="0"/>
    <x v="2"/>
    <x v="0"/>
    <x v="6"/>
    <x v="0"/>
    <x v="3"/>
    <x v="1"/>
  </r>
  <r>
    <s v="TX500561"/>
    <x v="0"/>
    <x v="2"/>
    <n v="11.9"/>
    <x v="519"/>
    <x v="23"/>
    <d v="2025-01-25T00:00:00"/>
    <x v="2"/>
    <x v="0"/>
    <x v="1"/>
    <x v="0"/>
    <x v="6"/>
    <x v="3"/>
    <x v="3"/>
    <x v="2"/>
  </r>
  <r>
    <s v="TX500562"/>
    <x v="2"/>
    <x v="1"/>
    <n v="63.5"/>
    <x v="520"/>
    <x v="23"/>
    <d v="2025-01-26T00:00:00"/>
    <x v="1"/>
    <x v="1"/>
    <x v="0"/>
    <x v="0"/>
    <x v="6"/>
    <x v="1"/>
    <x v="3"/>
    <x v="1"/>
  </r>
  <r>
    <s v="TX500563"/>
    <x v="4"/>
    <x v="1"/>
    <n v="27.1"/>
    <x v="521"/>
    <x v="23"/>
    <d v="2025-01-27T00:00:00"/>
    <x v="1"/>
    <x v="2"/>
    <x v="2"/>
    <x v="0"/>
    <x v="6"/>
    <x v="2"/>
    <x v="3"/>
    <x v="1"/>
  </r>
  <r>
    <s v="TX500564"/>
    <x v="1"/>
    <x v="1"/>
    <n v="82.1"/>
    <x v="522"/>
    <x v="24"/>
    <d v="2025-01-28T00:00:00"/>
    <x v="1"/>
    <x v="1"/>
    <x v="1"/>
    <x v="0"/>
    <x v="7"/>
    <x v="2"/>
    <x v="3"/>
    <x v="1"/>
  </r>
  <r>
    <s v="TX500565"/>
    <x v="3"/>
    <x v="9"/>
    <n v="42.9"/>
    <x v="523"/>
    <x v="24"/>
    <d v="2025-01-27T00:00:00"/>
    <x v="2"/>
    <x v="1"/>
    <x v="0"/>
    <x v="0"/>
    <x v="8"/>
    <x v="1"/>
    <x v="3"/>
    <x v="2"/>
  </r>
  <r>
    <s v="TX500566"/>
    <x v="8"/>
    <x v="5"/>
    <n v="37.9"/>
    <x v="524"/>
    <x v="24"/>
    <d v="2025-02-01T00:00:00"/>
    <x v="1"/>
    <x v="0"/>
    <x v="0"/>
    <x v="0"/>
    <x v="8"/>
    <x v="6"/>
    <x v="3"/>
    <x v="1"/>
  </r>
  <r>
    <s v="TX500567"/>
    <x v="0"/>
    <x v="0"/>
    <n v="22.4"/>
    <x v="525"/>
    <x v="24"/>
    <d v="2025-01-26T00:00:00"/>
    <x v="2"/>
    <x v="0"/>
    <x v="1"/>
    <x v="0"/>
    <x v="17"/>
    <x v="3"/>
    <x v="3"/>
    <x v="2"/>
  </r>
  <r>
    <s v="TX500568"/>
    <x v="2"/>
    <x v="15"/>
    <n v="79.900000000000006"/>
    <x v="526"/>
    <x v="24"/>
    <d v="2025-02-07T00:00:00"/>
    <x v="2"/>
    <x v="3"/>
    <x v="1"/>
    <x v="0"/>
    <x v="11"/>
    <x v="10"/>
    <x v="3"/>
    <x v="2"/>
  </r>
  <r>
    <s v="TX500569"/>
    <x v="1"/>
    <x v="0"/>
    <n v="70.599999999999994"/>
    <x v="527"/>
    <x v="24"/>
    <d v="2025-01-28T00:00:00"/>
    <x v="2"/>
    <x v="0"/>
    <x v="1"/>
    <x v="0"/>
    <x v="11"/>
    <x v="2"/>
    <x v="3"/>
    <x v="2"/>
  </r>
  <r>
    <s v="TX500570"/>
    <x v="6"/>
    <x v="0"/>
    <n v="49.5"/>
    <x v="528"/>
    <x v="24"/>
    <d v="2025-01-27T00:00:00"/>
    <x v="1"/>
    <x v="0"/>
    <x v="0"/>
    <x v="0"/>
    <x v="13"/>
    <x v="1"/>
    <x v="3"/>
    <x v="1"/>
  </r>
  <r>
    <s v="TX500571"/>
    <x v="2"/>
    <x v="1"/>
    <n v="96.6"/>
    <x v="529"/>
    <x v="24"/>
    <d v="2025-01-27T00:00:00"/>
    <x v="1"/>
    <x v="0"/>
    <x v="0"/>
    <x v="0"/>
    <x v="21"/>
    <x v="1"/>
    <x v="3"/>
    <x v="1"/>
  </r>
  <r>
    <s v="TX500572"/>
    <x v="6"/>
    <x v="1"/>
    <n v="52.8"/>
    <x v="142"/>
    <x v="24"/>
    <d v="2025-01-26T00:00:00"/>
    <x v="2"/>
    <x v="1"/>
    <x v="1"/>
    <x v="0"/>
    <x v="21"/>
    <x v="3"/>
    <x v="3"/>
    <x v="2"/>
  </r>
  <r>
    <s v="TX500573"/>
    <x v="2"/>
    <x v="0"/>
    <n v="101.7"/>
    <x v="530"/>
    <x v="24"/>
    <d v="2025-01-26T00:00:00"/>
    <x v="1"/>
    <x v="0"/>
    <x v="0"/>
    <x v="0"/>
    <x v="1"/>
    <x v="3"/>
    <x v="3"/>
    <x v="1"/>
  </r>
  <r>
    <s v="TX500574"/>
    <x v="4"/>
    <x v="9"/>
    <n v="26.9"/>
    <x v="531"/>
    <x v="24"/>
    <d v="2025-01-30T00:00:00"/>
    <x v="2"/>
    <x v="1"/>
    <x v="1"/>
    <x v="0"/>
    <x v="22"/>
    <x v="0"/>
    <x v="3"/>
    <x v="2"/>
  </r>
  <r>
    <s v="TX500575"/>
    <x v="2"/>
    <x v="12"/>
    <n v="211"/>
    <x v="532"/>
    <x v="24"/>
    <d v="2025-01-25T00:00:00"/>
    <x v="2"/>
    <x v="1"/>
    <x v="1"/>
    <x v="0"/>
    <x v="3"/>
    <x v="7"/>
    <x v="3"/>
    <x v="2"/>
  </r>
  <r>
    <s v="TX500576"/>
    <x v="0"/>
    <x v="12"/>
    <n v="21.1"/>
    <x v="533"/>
    <x v="24"/>
    <d v="2025-01-28T00:00:00"/>
    <x v="1"/>
    <x v="4"/>
    <x v="0"/>
    <x v="0"/>
    <x v="3"/>
    <x v="2"/>
    <x v="3"/>
    <x v="1"/>
  </r>
  <r>
    <s v="TX500577"/>
    <x v="10"/>
    <x v="0"/>
    <n v="26.6"/>
    <x v="534"/>
    <x v="24"/>
    <d v="2025-01-27T00:00:00"/>
    <x v="1"/>
    <x v="0"/>
    <x v="4"/>
    <x v="0"/>
    <x v="3"/>
    <x v="1"/>
    <x v="3"/>
    <x v="1"/>
  </r>
  <r>
    <s v="TX500578"/>
    <x v="12"/>
    <x v="12"/>
    <n v="51.2"/>
    <x v="403"/>
    <x v="24"/>
    <d v="2025-01-26T00:00:00"/>
    <x v="2"/>
    <x v="3"/>
    <x v="0"/>
    <x v="0"/>
    <x v="47"/>
    <x v="3"/>
    <x v="3"/>
    <x v="2"/>
  </r>
  <r>
    <s v="TX500579"/>
    <x v="0"/>
    <x v="9"/>
    <n v="10.6"/>
    <x v="535"/>
    <x v="24"/>
    <d v="2025-01-29T00:00:00"/>
    <x v="2"/>
    <x v="0"/>
    <x v="0"/>
    <x v="0"/>
    <x v="8"/>
    <x v="5"/>
    <x v="3"/>
    <x v="2"/>
  </r>
  <r>
    <s v="TX500580"/>
    <x v="6"/>
    <x v="2"/>
    <n v="43.4"/>
    <x v="33"/>
    <x v="24"/>
    <d v="2025-01-28T00:00:00"/>
    <x v="2"/>
    <x v="4"/>
    <x v="0"/>
    <x v="0"/>
    <x v="8"/>
    <x v="2"/>
    <x v="3"/>
    <x v="2"/>
  </r>
  <r>
    <s v="TX500581"/>
    <x v="12"/>
    <x v="0"/>
    <n v="80"/>
    <x v="479"/>
    <x v="24"/>
    <d v="2025-01-25T00:00:00"/>
    <x v="2"/>
    <x v="0"/>
    <x v="2"/>
    <x v="0"/>
    <x v="8"/>
    <x v="7"/>
    <x v="3"/>
    <x v="2"/>
  </r>
  <r>
    <s v="TX500582"/>
    <x v="10"/>
    <x v="12"/>
    <n v="64.7"/>
    <x v="536"/>
    <x v="24"/>
    <d v="2025-01-27T00:00:00"/>
    <x v="2"/>
    <x v="1"/>
    <x v="4"/>
    <x v="0"/>
    <x v="8"/>
    <x v="1"/>
    <x v="3"/>
    <x v="2"/>
  </r>
  <r>
    <s v="TX500583"/>
    <x v="8"/>
    <x v="5"/>
    <n v="26.3"/>
    <x v="537"/>
    <x v="25"/>
    <d v="2025-01-26T00:00:00"/>
    <x v="2"/>
    <x v="4"/>
    <x v="1"/>
    <x v="0"/>
    <x v="26"/>
    <x v="7"/>
    <x v="4"/>
    <x v="2"/>
  </r>
  <r>
    <s v="TX500584"/>
    <x v="10"/>
    <x v="0"/>
    <n v="28.5"/>
    <x v="425"/>
    <x v="25"/>
    <d v="2025-01-26T00:00:00"/>
    <x v="1"/>
    <x v="0"/>
    <x v="1"/>
    <x v="0"/>
    <x v="9"/>
    <x v="7"/>
    <x v="4"/>
    <x v="1"/>
  </r>
  <r>
    <s v="TX500585"/>
    <x v="17"/>
    <x v="0"/>
    <n v="47.8"/>
    <x v="538"/>
    <x v="25"/>
    <d v="2025-01-28T00:00:00"/>
    <x v="2"/>
    <x v="0"/>
    <x v="1"/>
    <x v="0"/>
    <x v="9"/>
    <x v="1"/>
    <x v="4"/>
    <x v="2"/>
  </r>
  <r>
    <s v="TX500586"/>
    <x v="10"/>
    <x v="2"/>
    <n v="42.8"/>
    <x v="539"/>
    <x v="25"/>
    <d v="2025-01-29T00:00:00"/>
    <x v="2"/>
    <x v="4"/>
    <x v="1"/>
    <x v="0"/>
    <x v="11"/>
    <x v="2"/>
    <x v="4"/>
    <x v="2"/>
  </r>
  <r>
    <s v="TX500587"/>
    <x v="6"/>
    <x v="9"/>
    <n v="46.8"/>
    <x v="540"/>
    <x v="25"/>
    <d v="2025-01-31T00:00:00"/>
    <x v="2"/>
    <x v="1"/>
    <x v="2"/>
    <x v="0"/>
    <x v="11"/>
    <x v="0"/>
    <x v="4"/>
    <x v="2"/>
  </r>
  <r>
    <s v="TX500588"/>
    <x v="1"/>
    <x v="7"/>
    <n v="64.099999999999994"/>
    <x v="541"/>
    <x v="25"/>
    <d v="2025-01-27T00:00:00"/>
    <x v="1"/>
    <x v="1"/>
    <x v="0"/>
    <x v="0"/>
    <x v="11"/>
    <x v="3"/>
    <x v="4"/>
    <x v="1"/>
  </r>
  <r>
    <s v="TX500589"/>
    <x v="2"/>
    <x v="0"/>
    <n v="89.1"/>
    <x v="542"/>
    <x v="25"/>
    <d v="2025-01-27T00:00:00"/>
    <x v="2"/>
    <x v="0"/>
    <x v="1"/>
    <x v="0"/>
    <x v="20"/>
    <x v="3"/>
    <x v="4"/>
    <x v="2"/>
  </r>
  <r>
    <s v="TX500590"/>
    <x v="2"/>
    <x v="2"/>
    <n v="83.1"/>
    <x v="543"/>
    <x v="25"/>
    <d v="2025-01-27T00:00:00"/>
    <x v="2"/>
    <x v="2"/>
    <x v="1"/>
    <x v="0"/>
    <x v="13"/>
    <x v="3"/>
    <x v="4"/>
    <x v="2"/>
  </r>
  <r>
    <s v="TX500591"/>
    <x v="8"/>
    <x v="2"/>
    <n v="40.9"/>
    <x v="544"/>
    <x v="25"/>
    <d v="2025-01-27T00:00:00"/>
    <x v="1"/>
    <x v="0"/>
    <x v="0"/>
    <x v="0"/>
    <x v="1"/>
    <x v="3"/>
    <x v="4"/>
    <x v="1"/>
  </r>
  <r>
    <s v="TX500592"/>
    <x v="2"/>
    <x v="1"/>
    <n v="125.7"/>
    <x v="545"/>
    <x v="25"/>
    <d v="2025-01-27T00:00:00"/>
    <x v="2"/>
    <x v="3"/>
    <x v="0"/>
    <x v="0"/>
    <x v="2"/>
    <x v="3"/>
    <x v="4"/>
    <x v="2"/>
  </r>
  <r>
    <s v="TX500593"/>
    <x v="3"/>
    <x v="1"/>
    <n v="30.9"/>
    <x v="546"/>
    <x v="25"/>
    <d v="2025-01-26T00:00:00"/>
    <x v="2"/>
    <x v="2"/>
    <x v="2"/>
    <x v="0"/>
    <x v="22"/>
    <x v="7"/>
    <x v="4"/>
    <x v="2"/>
  </r>
  <r>
    <s v="TX500594"/>
    <x v="8"/>
    <x v="1"/>
    <n v="18.3"/>
    <x v="547"/>
    <x v="25"/>
    <d v="2025-01-27T00:00:00"/>
    <x v="2"/>
    <x v="1"/>
    <x v="0"/>
    <x v="0"/>
    <x v="3"/>
    <x v="3"/>
    <x v="4"/>
    <x v="2"/>
  </r>
  <r>
    <s v="TX500595"/>
    <x v="4"/>
    <x v="1"/>
    <n v="56.5"/>
    <x v="548"/>
    <x v="25"/>
    <d v="2025-01-30T00:00:00"/>
    <x v="1"/>
    <x v="2"/>
    <x v="2"/>
    <x v="0"/>
    <x v="3"/>
    <x v="5"/>
    <x v="4"/>
    <x v="1"/>
  </r>
  <r>
    <s v="TX500596"/>
    <x v="10"/>
    <x v="3"/>
    <n v="29.9"/>
    <x v="549"/>
    <x v="25"/>
    <d v="2025-01-28T00:00:00"/>
    <x v="1"/>
    <x v="4"/>
    <x v="2"/>
    <x v="0"/>
    <x v="3"/>
    <x v="1"/>
    <x v="4"/>
    <x v="1"/>
  </r>
  <r>
    <s v="TX500597"/>
    <x v="5"/>
    <x v="1"/>
    <n v="50.4"/>
    <x v="90"/>
    <x v="25"/>
    <d v="2025-01-27T00:00:00"/>
    <x v="2"/>
    <x v="2"/>
    <x v="0"/>
    <x v="0"/>
    <x v="3"/>
    <x v="3"/>
    <x v="4"/>
    <x v="2"/>
  </r>
  <r>
    <s v="TX500598"/>
    <x v="2"/>
    <x v="0"/>
    <n v="85.8"/>
    <x v="550"/>
    <x v="25"/>
    <d v="2025-01-26T00:00:00"/>
    <x v="2"/>
    <x v="2"/>
    <x v="2"/>
    <x v="0"/>
    <x v="3"/>
    <x v="7"/>
    <x v="4"/>
    <x v="2"/>
  </r>
  <r>
    <s v="TX500599"/>
    <x v="4"/>
    <x v="27"/>
    <n v="66.599999999999994"/>
    <x v="551"/>
    <x v="25"/>
    <d v="2025-01-28T00:00:00"/>
    <x v="1"/>
    <x v="1"/>
    <x v="0"/>
    <x v="0"/>
    <x v="3"/>
    <x v="1"/>
    <x v="4"/>
    <x v="1"/>
  </r>
  <r>
    <s v="TX500600"/>
    <x v="6"/>
    <x v="12"/>
    <n v="70.3"/>
    <x v="552"/>
    <x v="25"/>
    <d v="2025-01-27T00:00:00"/>
    <x v="2"/>
    <x v="0"/>
    <x v="1"/>
    <x v="0"/>
    <x v="3"/>
    <x v="3"/>
    <x v="4"/>
    <x v="2"/>
  </r>
  <r>
    <s v="TX500601"/>
    <x v="8"/>
    <x v="12"/>
    <n v="31"/>
    <x v="553"/>
    <x v="25"/>
    <d v="2025-01-29T00:00:00"/>
    <x v="1"/>
    <x v="0"/>
    <x v="2"/>
    <x v="0"/>
    <x v="3"/>
    <x v="2"/>
    <x v="4"/>
    <x v="1"/>
  </r>
  <r>
    <s v="TX500602"/>
    <x v="7"/>
    <x v="13"/>
    <n v="81.599999999999994"/>
    <x v="554"/>
    <x v="25"/>
    <d v="2025-01-27T00:00:00"/>
    <x v="2"/>
    <x v="1"/>
    <x v="1"/>
    <x v="0"/>
    <x v="37"/>
    <x v="3"/>
    <x v="4"/>
    <x v="2"/>
  </r>
  <r>
    <s v="TX500603"/>
    <x v="1"/>
    <x v="30"/>
    <n v="58.3"/>
    <x v="555"/>
    <x v="25"/>
    <d v="2025-01-27T00:00:00"/>
    <x v="2"/>
    <x v="0"/>
    <x v="0"/>
    <x v="0"/>
    <x v="16"/>
    <x v="3"/>
    <x v="4"/>
    <x v="2"/>
  </r>
  <r>
    <s v="TX500604"/>
    <x v="1"/>
    <x v="12"/>
    <n v="35.1"/>
    <x v="381"/>
    <x v="25"/>
    <d v="2025-01-28T00:00:00"/>
    <x v="1"/>
    <x v="0"/>
    <x v="2"/>
    <x v="0"/>
    <x v="8"/>
    <x v="1"/>
    <x v="4"/>
    <x v="1"/>
  </r>
  <r>
    <s v="TX500605"/>
    <x v="2"/>
    <x v="0"/>
    <n v="80.2"/>
    <x v="556"/>
    <x v="25"/>
    <d v="2025-01-27T00:00:00"/>
    <x v="1"/>
    <x v="3"/>
    <x v="2"/>
    <x v="0"/>
    <x v="8"/>
    <x v="3"/>
    <x v="4"/>
    <x v="1"/>
  </r>
  <r>
    <s v="TX500606"/>
    <x v="14"/>
    <x v="2"/>
    <n v="39.200000000000003"/>
    <x v="557"/>
    <x v="25"/>
    <d v="2025-01-28T00:00:00"/>
    <x v="2"/>
    <x v="1"/>
    <x v="0"/>
    <x v="0"/>
    <x v="9"/>
    <x v="1"/>
    <x v="4"/>
    <x v="2"/>
  </r>
  <r>
    <s v="TX500607"/>
    <x v="0"/>
    <x v="1"/>
    <n v="15.4"/>
    <x v="558"/>
    <x v="25"/>
    <d v="2025-01-26T00:00:00"/>
    <x v="2"/>
    <x v="3"/>
    <x v="0"/>
    <x v="0"/>
    <x v="48"/>
    <x v="7"/>
    <x v="4"/>
    <x v="2"/>
  </r>
  <r>
    <s v="TX500608"/>
    <x v="3"/>
    <x v="2"/>
    <n v="65.400000000000006"/>
    <x v="338"/>
    <x v="25"/>
    <d v="2025-01-29T00:00:00"/>
    <x v="1"/>
    <x v="3"/>
    <x v="0"/>
    <x v="0"/>
    <x v="18"/>
    <x v="2"/>
    <x v="4"/>
    <x v="1"/>
  </r>
  <r>
    <s v="TX500609"/>
    <x v="1"/>
    <x v="8"/>
    <n v="63.2"/>
    <x v="559"/>
    <x v="25"/>
    <d v="2025-01-28T00:00:00"/>
    <x v="2"/>
    <x v="1"/>
    <x v="0"/>
    <x v="0"/>
    <x v="19"/>
    <x v="1"/>
    <x v="4"/>
    <x v="2"/>
  </r>
  <r>
    <s v="TX500610"/>
    <x v="1"/>
    <x v="13"/>
    <n v="35.700000000000003"/>
    <x v="560"/>
    <x v="25"/>
    <d v="2025-01-30T00:00:00"/>
    <x v="2"/>
    <x v="4"/>
    <x v="1"/>
    <x v="0"/>
    <x v="19"/>
    <x v="5"/>
    <x v="4"/>
    <x v="2"/>
  </r>
  <r>
    <s v="TX500611"/>
    <x v="0"/>
    <x v="28"/>
    <n v="26.2"/>
    <x v="561"/>
    <x v="25"/>
    <d v="2025-01-27T00:00:00"/>
    <x v="2"/>
    <x v="3"/>
    <x v="0"/>
    <x v="0"/>
    <x v="21"/>
    <x v="3"/>
    <x v="4"/>
    <x v="2"/>
  </r>
  <r>
    <s v="TX500612"/>
    <x v="7"/>
    <x v="1"/>
    <n v="31"/>
    <x v="85"/>
    <x v="25"/>
    <d v="2025-01-27T00:00:00"/>
    <x v="2"/>
    <x v="0"/>
    <x v="2"/>
    <x v="0"/>
    <x v="1"/>
    <x v="3"/>
    <x v="4"/>
    <x v="2"/>
  </r>
  <r>
    <s v="TX500613"/>
    <x v="8"/>
    <x v="12"/>
    <n v="37.700000000000003"/>
    <x v="562"/>
    <x v="25"/>
    <d v="2025-01-27T00:00:00"/>
    <x v="2"/>
    <x v="1"/>
    <x v="0"/>
    <x v="0"/>
    <x v="22"/>
    <x v="3"/>
    <x v="4"/>
    <x v="2"/>
  </r>
  <r>
    <s v="TX500614"/>
    <x v="10"/>
    <x v="33"/>
    <n v="43.6"/>
    <x v="563"/>
    <x v="25"/>
    <d v="2025-01-28T00:00:00"/>
    <x v="2"/>
    <x v="4"/>
    <x v="1"/>
    <x v="0"/>
    <x v="3"/>
    <x v="1"/>
    <x v="4"/>
    <x v="2"/>
  </r>
  <r>
    <s v="TX500615"/>
    <x v="9"/>
    <x v="12"/>
    <n v="26.5"/>
    <x v="101"/>
    <x v="25"/>
    <d v="2025-01-28T00:00:00"/>
    <x v="1"/>
    <x v="0"/>
    <x v="4"/>
    <x v="0"/>
    <x v="3"/>
    <x v="1"/>
    <x v="4"/>
    <x v="1"/>
  </r>
  <r>
    <s v="TX500616"/>
    <x v="0"/>
    <x v="1"/>
    <n v="34.6"/>
    <x v="564"/>
    <x v="25"/>
    <d v="2025-01-27T00:00:00"/>
    <x v="1"/>
    <x v="4"/>
    <x v="1"/>
    <x v="0"/>
    <x v="3"/>
    <x v="3"/>
    <x v="4"/>
    <x v="1"/>
  </r>
  <r>
    <s v="TX500617"/>
    <x v="8"/>
    <x v="1"/>
    <n v="58.2"/>
    <x v="565"/>
    <x v="25"/>
    <d v="2025-01-27T00:00:00"/>
    <x v="1"/>
    <x v="2"/>
    <x v="2"/>
    <x v="0"/>
    <x v="3"/>
    <x v="3"/>
    <x v="4"/>
    <x v="1"/>
  </r>
  <r>
    <s v="TX500618"/>
    <x v="7"/>
    <x v="0"/>
    <n v="30.2"/>
    <x v="242"/>
    <x v="26"/>
    <d v="2025-01-28T00:00:00"/>
    <x v="2"/>
    <x v="2"/>
    <x v="1"/>
    <x v="0"/>
    <x v="3"/>
    <x v="3"/>
    <x v="4"/>
    <x v="2"/>
  </r>
  <r>
    <s v="TX500619"/>
    <x v="1"/>
    <x v="7"/>
    <n v="53.2"/>
    <x v="566"/>
    <x v="26"/>
    <d v="2025-01-28T00:00:00"/>
    <x v="1"/>
    <x v="0"/>
    <x v="2"/>
    <x v="0"/>
    <x v="5"/>
    <x v="3"/>
    <x v="4"/>
    <x v="1"/>
  </r>
  <r>
    <s v="TX500620"/>
    <x v="12"/>
    <x v="13"/>
    <n v="51.1"/>
    <x v="567"/>
    <x v="26"/>
    <d v="2025-01-27T00:00:00"/>
    <x v="1"/>
    <x v="1"/>
    <x v="2"/>
    <x v="0"/>
    <x v="5"/>
    <x v="7"/>
    <x v="4"/>
    <x v="1"/>
  </r>
  <r>
    <s v="TX500621"/>
    <x v="1"/>
    <x v="0"/>
    <n v="105.4"/>
    <x v="568"/>
    <x v="26"/>
    <d v="2025-01-31T00:00:00"/>
    <x v="2"/>
    <x v="1"/>
    <x v="2"/>
    <x v="0"/>
    <x v="23"/>
    <x v="5"/>
    <x v="4"/>
    <x v="2"/>
  </r>
  <r>
    <s v="TX500622"/>
    <x v="7"/>
    <x v="0"/>
    <n v="57.7"/>
    <x v="569"/>
    <x v="26"/>
    <d v="2025-01-27T00:00:00"/>
    <x v="1"/>
    <x v="0"/>
    <x v="4"/>
    <x v="0"/>
    <x v="8"/>
    <x v="7"/>
    <x v="4"/>
    <x v="1"/>
  </r>
  <r>
    <s v="TX500623"/>
    <x v="15"/>
    <x v="1"/>
    <n v="72.400000000000006"/>
    <x v="353"/>
    <x v="26"/>
    <d v="2025-02-01T00:00:00"/>
    <x v="2"/>
    <x v="0"/>
    <x v="0"/>
    <x v="0"/>
    <x v="17"/>
    <x v="0"/>
    <x v="4"/>
    <x v="2"/>
  </r>
  <r>
    <s v="TX500624"/>
    <x v="6"/>
    <x v="1"/>
    <n v="62.5"/>
    <x v="570"/>
    <x v="26"/>
    <d v="2025-01-28T00:00:00"/>
    <x v="0"/>
    <x v="0"/>
    <x v="2"/>
    <x v="0"/>
    <x v="11"/>
    <x v="3"/>
    <x v="4"/>
    <x v="0"/>
  </r>
  <r>
    <s v="TX500625"/>
    <x v="0"/>
    <x v="32"/>
    <n v="11.6"/>
    <x v="281"/>
    <x v="26"/>
    <d v="2025-01-29T00:00:00"/>
    <x v="2"/>
    <x v="3"/>
    <x v="2"/>
    <x v="0"/>
    <x v="18"/>
    <x v="1"/>
    <x v="4"/>
    <x v="2"/>
  </r>
  <r>
    <s v="TX500626"/>
    <x v="10"/>
    <x v="7"/>
    <n v="39.6"/>
    <x v="501"/>
    <x v="26"/>
    <d v="2025-01-29T00:00:00"/>
    <x v="2"/>
    <x v="2"/>
    <x v="2"/>
    <x v="0"/>
    <x v="18"/>
    <x v="1"/>
    <x v="4"/>
    <x v="2"/>
  </r>
  <r>
    <s v="TX500627"/>
    <x v="8"/>
    <x v="1"/>
    <n v="40.1"/>
    <x v="556"/>
    <x v="26"/>
    <d v="2025-01-28T00:00:00"/>
    <x v="2"/>
    <x v="2"/>
    <x v="0"/>
    <x v="0"/>
    <x v="18"/>
    <x v="3"/>
    <x v="4"/>
    <x v="2"/>
  </r>
  <r>
    <s v="TX500628"/>
    <x v="8"/>
    <x v="2"/>
    <n v="18.600000000000001"/>
    <x v="571"/>
    <x v="26"/>
    <d v="2025-01-28T00:00:00"/>
    <x v="2"/>
    <x v="2"/>
    <x v="0"/>
    <x v="0"/>
    <x v="21"/>
    <x v="3"/>
    <x v="4"/>
    <x v="2"/>
  </r>
  <r>
    <s v="TX500629"/>
    <x v="4"/>
    <x v="0"/>
    <n v="58.8"/>
    <x v="572"/>
    <x v="26"/>
    <d v="2025-01-29T00:00:00"/>
    <x v="2"/>
    <x v="0"/>
    <x v="1"/>
    <x v="0"/>
    <x v="21"/>
    <x v="1"/>
    <x v="4"/>
    <x v="2"/>
  </r>
  <r>
    <s v="TX500630"/>
    <x v="8"/>
    <x v="1"/>
    <n v="22.1"/>
    <x v="573"/>
    <x v="26"/>
    <d v="2025-01-30T00:00:00"/>
    <x v="1"/>
    <x v="1"/>
    <x v="2"/>
    <x v="0"/>
    <x v="21"/>
    <x v="2"/>
    <x v="4"/>
    <x v="1"/>
  </r>
  <r>
    <s v="TX500631"/>
    <x v="2"/>
    <x v="0"/>
    <n v="114.9"/>
    <x v="574"/>
    <x v="27"/>
    <d v="2025-01-29T00:00:00"/>
    <x v="2"/>
    <x v="1"/>
    <x v="1"/>
    <x v="0"/>
    <x v="22"/>
    <x v="3"/>
    <x v="4"/>
    <x v="2"/>
  </r>
  <r>
    <s v="TX500632"/>
    <x v="9"/>
    <x v="9"/>
    <n v="75.8"/>
    <x v="575"/>
    <x v="27"/>
    <d v="2025-01-29T00:00:00"/>
    <x v="1"/>
    <x v="0"/>
    <x v="2"/>
    <x v="0"/>
    <x v="3"/>
    <x v="3"/>
    <x v="4"/>
    <x v="1"/>
  </r>
  <r>
    <s v="TX500633"/>
    <x v="14"/>
    <x v="9"/>
    <n v="20.6"/>
    <x v="576"/>
    <x v="27"/>
    <d v="2025-01-29T00:00:00"/>
    <x v="1"/>
    <x v="2"/>
    <x v="2"/>
    <x v="0"/>
    <x v="3"/>
    <x v="3"/>
    <x v="4"/>
    <x v="1"/>
  </r>
  <r>
    <s v="TX500634"/>
    <x v="17"/>
    <x v="2"/>
    <n v="67.900000000000006"/>
    <x v="577"/>
    <x v="27"/>
    <d v="2025-01-29T00:00:00"/>
    <x v="2"/>
    <x v="1"/>
    <x v="1"/>
    <x v="0"/>
    <x v="3"/>
    <x v="3"/>
    <x v="4"/>
    <x v="2"/>
  </r>
  <r>
    <s v="TX500635"/>
    <x v="0"/>
    <x v="9"/>
    <n v="27"/>
    <x v="340"/>
    <x v="27"/>
    <d v="2025-02-04T00:00:00"/>
    <x v="2"/>
    <x v="0"/>
    <x v="2"/>
    <x v="0"/>
    <x v="3"/>
    <x v="6"/>
    <x v="4"/>
    <x v="2"/>
  </r>
  <r>
    <s v="TX500636"/>
    <x v="13"/>
    <x v="0"/>
    <n v="50.6"/>
    <x v="578"/>
    <x v="27"/>
    <d v="2025-01-28T00:00:00"/>
    <x v="1"/>
    <x v="0"/>
    <x v="1"/>
    <x v="0"/>
    <x v="3"/>
    <x v="7"/>
    <x v="4"/>
    <x v="1"/>
  </r>
  <r>
    <s v="TX500637"/>
    <x v="4"/>
    <x v="9"/>
    <n v="22.1"/>
    <x v="579"/>
    <x v="27"/>
    <d v="2025-02-02T00:00:00"/>
    <x v="1"/>
    <x v="0"/>
    <x v="0"/>
    <x v="0"/>
    <x v="3"/>
    <x v="0"/>
    <x v="4"/>
    <x v="1"/>
  </r>
  <r>
    <s v="TX500638"/>
    <x v="8"/>
    <x v="2"/>
    <n v="42.9"/>
    <x v="580"/>
    <x v="27"/>
    <d v="2025-01-30T00:00:00"/>
    <x v="2"/>
    <x v="0"/>
    <x v="0"/>
    <x v="0"/>
    <x v="3"/>
    <x v="1"/>
    <x v="4"/>
    <x v="2"/>
  </r>
  <r>
    <s v="TX500639"/>
    <x v="1"/>
    <x v="5"/>
    <n v="62.4"/>
    <x v="581"/>
    <x v="27"/>
    <d v="2025-01-30T00:00:00"/>
    <x v="2"/>
    <x v="2"/>
    <x v="0"/>
    <x v="0"/>
    <x v="3"/>
    <x v="1"/>
    <x v="4"/>
    <x v="2"/>
  </r>
  <r>
    <s v="TX500640"/>
    <x v="13"/>
    <x v="11"/>
    <n v="36.4"/>
    <x v="582"/>
    <x v="27"/>
    <d v="2025-01-30T00:00:00"/>
    <x v="2"/>
    <x v="0"/>
    <x v="2"/>
    <x v="0"/>
    <x v="3"/>
    <x v="1"/>
    <x v="4"/>
    <x v="2"/>
  </r>
  <r>
    <s v="TX500641"/>
    <x v="0"/>
    <x v="1"/>
    <n v="22.5"/>
    <x v="583"/>
    <x v="27"/>
    <d v="2025-01-31T00:00:00"/>
    <x v="1"/>
    <x v="0"/>
    <x v="0"/>
    <x v="0"/>
    <x v="3"/>
    <x v="2"/>
    <x v="4"/>
    <x v="1"/>
  </r>
  <r>
    <s v="TX500642"/>
    <x v="6"/>
    <x v="12"/>
    <n v="70.8"/>
    <x v="584"/>
    <x v="27"/>
    <d v="2025-01-30T00:00:00"/>
    <x v="2"/>
    <x v="4"/>
    <x v="0"/>
    <x v="0"/>
    <x v="3"/>
    <x v="1"/>
    <x v="4"/>
    <x v="2"/>
  </r>
  <r>
    <s v="TX500643"/>
    <x v="6"/>
    <x v="9"/>
    <n v="56.6"/>
    <x v="585"/>
    <x v="27"/>
    <d v="2025-01-30T00:00:00"/>
    <x v="1"/>
    <x v="0"/>
    <x v="1"/>
    <x v="0"/>
    <x v="4"/>
    <x v="1"/>
    <x v="4"/>
    <x v="1"/>
  </r>
  <r>
    <s v="TX500644"/>
    <x v="6"/>
    <x v="1"/>
    <n v="47.9"/>
    <x v="586"/>
    <x v="27"/>
    <d v="2025-01-29T00:00:00"/>
    <x v="2"/>
    <x v="0"/>
    <x v="0"/>
    <x v="0"/>
    <x v="6"/>
    <x v="3"/>
    <x v="4"/>
    <x v="2"/>
  </r>
  <r>
    <s v="TX500645"/>
    <x v="6"/>
    <x v="8"/>
    <n v="78.400000000000006"/>
    <x v="587"/>
    <x v="27"/>
    <d v="2025-01-30T00:00:00"/>
    <x v="2"/>
    <x v="1"/>
    <x v="0"/>
    <x v="0"/>
    <x v="6"/>
    <x v="1"/>
    <x v="4"/>
    <x v="2"/>
  </r>
  <r>
    <s v="TX500646"/>
    <x v="2"/>
    <x v="21"/>
    <n v="122.1"/>
    <x v="588"/>
    <x v="27"/>
    <d v="2025-02-02T00:00:00"/>
    <x v="2"/>
    <x v="0"/>
    <x v="2"/>
    <x v="0"/>
    <x v="6"/>
    <x v="0"/>
    <x v="4"/>
    <x v="2"/>
  </r>
  <r>
    <s v="TX500647"/>
    <x v="2"/>
    <x v="1"/>
    <n v="83.7"/>
    <x v="589"/>
    <x v="28"/>
    <d v="2025-01-29T00:00:00"/>
    <x v="0"/>
    <x v="1"/>
    <x v="2"/>
    <x v="0"/>
    <x v="7"/>
    <x v="7"/>
    <x v="4"/>
    <x v="0"/>
  </r>
  <r>
    <s v="TX500648"/>
    <x v="3"/>
    <x v="12"/>
    <n v="97.9"/>
    <x v="590"/>
    <x v="28"/>
    <d v="2025-02-02T00:00:00"/>
    <x v="2"/>
    <x v="3"/>
    <x v="2"/>
    <x v="0"/>
    <x v="7"/>
    <x v="5"/>
    <x v="4"/>
    <x v="2"/>
  </r>
  <r>
    <s v="TX500649"/>
    <x v="14"/>
    <x v="0"/>
    <n v="15"/>
    <x v="591"/>
    <x v="28"/>
    <d v="2025-02-03T00:00:00"/>
    <x v="2"/>
    <x v="3"/>
    <x v="0"/>
    <x v="0"/>
    <x v="8"/>
    <x v="0"/>
    <x v="4"/>
    <x v="2"/>
  </r>
  <r>
    <s v="TX500650"/>
    <x v="12"/>
    <x v="2"/>
    <n v="94.6"/>
    <x v="592"/>
    <x v="28"/>
    <d v="2025-01-30T00:00:00"/>
    <x v="1"/>
    <x v="2"/>
    <x v="1"/>
    <x v="0"/>
    <x v="8"/>
    <x v="3"/>
    <x v="4"/>
    <x v="1"/>
  </r>
  <r>
    <s v="TX500651"/>
    <x v="0"/>
    <x v="13"/>
    <n v="19.7"/>
    <x v="593"/>
    <x v="28"/>
    <d v="2025-02-09T00:00:00"/>
    <x v="2"/>
    <x v="0"/>
    <x v="2"/>
    <x v="0"/>
    <x v="8"/>
    <x v="11"/>
    <x v="4"/>
    <x v="2"/>
  </r>
  <r>
    <s v="TX500652"/>
    <x v="7"/>
    <x v="0"/>
    <n v="46.7"/>
    <x v="594"/>
    <x v="28"/>
    <d v="2025-02-01T00:00:00"/>
    <x v="2"/>
    <x v="2"/>
    <x v="0"/>
    <x v="0"/>
    <x v="17"/>
    <x v="2"/>
    <x v="4"/>
    <x v="2"/>
  </r>
  <r>
    <s v="TX500653"/>
    <x v="1"/>
    <x v="12"/>
    <n v="43"/>
    <x v="595"/>
    <x v="28"/>
    <d v="2025-01-30T00:00:00"/>
    <x v="1"/>
    <x v="2"/>
    <x v="2"/>
    <x v="0"/>
    <x v="17"/>
    <x v="3"/>
    <x v="4"/>
    <x v="1"/>
  </r>
  <r>
    <s v="TX500654"/>
    <x v="6"/>
    <x v="2"/>
    <n v="68.2"/>
    <x v="214"/>
    <x v="28"/>
    <d v="2025-02-04T00:00:00"/>
    <x v="2"/>
    <x v="0"/>
    <x v="0"/>
    <x v="0"/>
    <x v="9"/>
    <x v="4"/>
    <x v="4"/>
    <x v="2"/>
  </r>
  <r>
    <s v="TX500655"/>
    <x v="10"/>
    <x v="7"/>
    <n v="24.3"/>
    <x v="596"/>
    <x v="28"/>
    <d v="2025-01-30T00:00:00"/>
    <x v="1"/>
    <x v="0"/>
    <x v="2"/>
    <x v="0"/>
    <x v="10"/>
    <x v="3"/>
    <x v="4"/>
    <x v="1"/>
  </r>
  <r>
    <s v="TX500656"/>
    <x v="7"/>
    <x v="1"/>
    <n v="86.8"/>
    <x v="597"/>
    <x v="28"/>
    <d v="2025-02-02T00:00:00"/>
    <x v="2"/>
    <x v="4"/>
    <x v="2"/>
    <x v="0"/>
    <x v="11"/>
    <x v="5"/>
    <x v="4"/>
    <x v="2"/>
  </r>
  <r>
    <s v="TX500657"/>
    <x v="0"/>
    <x v="1"/>
    <n v="15.8"/>
    <x v="35"/>
    <x v="28"/>
    <d v="2025-01-31T00:00:00"/>
    <x v="1"/>
    <x v="1"/>
    <x v="0"/>
    <x v="0"/>
    <x v="11"/>
    <x v="1"/>
    <x v="4"/>
    <x v="1"/>
  </r>
  <r>
    <s v="TX500658"/>
    <x v="2"/>
    <x v="12"/>
    <n v="61.6"/>
    <x v="598"/>
    <x v="28"/>
    <d v="2025-01-30T00:00:00"/>
    <x v="1"/>
    <x v="2"/>
    <x v="0"/>
    <x v="0"/>
    <x v="11"/>
    <x v="3"/>
    <x v="4"/>
    <x v="1"/>
  </r>
  <r>
    <s v="TX500659"/>
    <x v="6"/>
    <x v="2"/>
    <n v="48.7"/>
    <x v="599"/>
    <x v="28"/>
    <d v="2025-02-04T00:00:00"/>
    <x v="2"/>
    <x v="1"/>
    <x v="2"/>
    <x v="0"/>
    <x v="45"/>
    <x v="4"/>
    <x v="4"/>
    <x v="2"/>
  </r>
  <r>
    <s v="TX500660"/>
    <x v="8"/>
    <x v="12"/>
    <n v="24.3"/>
    <x v="451"/>
    <x v="28"/>
    <d v="2025-01-31T00:00:00"/>
    <x v="2"/>
    <x v="1"/>
    <x v="2"/>
    <x v="0"/>
    <x v="21"/>
    <x v="1"/>
    <x v="4"/>
    <x v="2"/>
  </r>
  <r>
    <s v="TX500661"/>
    <x v="2"/>
    <x v="1"/>
    <n v="130.69999999999999"/>
    <x v="600"/>
    <x v="28"/>
    <d v="2025-01-30T00:00:00"/>
    <x v="2"/>
    <x v="2"/>
    <x v="0"/>
    <x v="0"/>
    <x v="44"/>
    <x v="3"/>
    <x v="4"/>
    <x v="2"/>
  </r>
  <r>
    <s v="TX500662"/>
    <x v="10"/>
    <x v="0"/>
    <n v="26"/>
    <x v="601"/>
    <x v="28"/>
    <d v="2025-01-31T00:00:00"/>
    <x v="1"/>
    <x v="0"/>
    <x v="0"/>
    <x v="0"/>
    <x v="3"/>
    <x v="1"/>
    <x v="4"/>
    <x v="1"/>
  </r>
  <r>
    <s v="TX500663"/>
    <x v="2"/>
    <x v="9"/>
    <n v="94.4"/>
    <x v="602"/>
    <x v="28"/>
    <d v="2025-01-30T00:00:00"/>
    <x v="2"/>
    <x v="0"/>
    <x v="0"/>
    <x v="0"/>
    <x v="3"/>
    <x v="3"/>
    <x v="4"/>
    <x v="2"/>
  </r>
  <r>
    <s v="TX500664"/>
    <x v="0"/>
    <x v="13"/>
    <n v="23.7"/>
    <x v="60"/>
    <x v="28"/>
    <d v="2025-01-31T00:00:00"/>
    <x v="1"/>
    <x v="2"/>
    <x v="2"/>
    <x v="0"/>
    <x v="3"/>
    <x v="1"/>
    <x v="4"/>
    <x v="1"/>
  </r>
  <r>
    <s v="TX500665"/>
    <x v="9"/>
    <x v="4"/>
    <n v="37.4"/>
    <x v="603"/>
    <x v="28"/>
    <d v="2025-01-31T00:00:00"/>
    <x v="1"/>
    <x v="2"/>
    <x v="0"/>
    <x v="0"/>
    <x v="3"/>
    <x v="1"/>
    <x v="4"/>
    <x v="1"/>
  </r>
  <r>
    <s v="TX500666"/>
    <x v="1"/>
    <x v="34"/>
    <n v="55.2"/>
    <x v="604"/>
    <x v="28"/>
    <d v="2025-01-29T00:00:00"/>
    <x v="2"/>
    <x v="3"/>
    <x v="1"/>
    <x v="0"/>
    <x v="3"/>
    <x v="7"/>
    <x v="4"/>
    <x v="2"/>
  </r>
  <r>
    <s v="TX500667"/>
    <x v="2"/>
    <x v="11"/>
    <n v="57.1"/>
    <x v="605"/>
    <x v="28"/>
    <d v="2025-01-31T00:00:00"/>
    <x v="1"/>
    <x v="0"/>
    <x v="2"/>
    <x v="0"/>
    <x v="3"/>
    <x v="1"/>
    <x v="4"/>
    <x v="1"/>
  </r>
  <r>
    <s v="TX500668"/>
    <x v="12"/>
    <x v="0"/>
    <n v="55.3"/>
    <x v="6"/>
    <x v="28"/>
    <d v="2025-01-30T00:00:00"/>
    <x v="2"/>
    <x v="2"/>
    <x v="2"/>
    <x v="0"/>
    <x v="3"/>
    <x v="3"/>
    <x v="4"/>
    <x v="2"/>
  </r>
  <r>
    <s v="TX500669"/>
    <x v="15"/>
    <x v="3"/>
    <n v="23.9"/>
    <x v="606"/>
    <x v="28"/>
    <d v="2025-01-30T00:00:00"/>
    <x v="2"/>
    <x v="4"/>
    <x v="1"/>
    <x v="0"/>
    <x v="3"/>
    <x v="3"/>
    <x v="4"/>
    <x v="2"/>
  </r>
  <r>
    <s v="TX500670"/>
    <x v="0"/>
    <x v="0"/>
    <n v="34.1"/>
    <x v="607"/>
    <x v="28"/>
    <d v="2025-02-05T00:00:00"/>
    <x v="2"/>
    <x v="2"/>
    <x v="0"/>
    <x v="0"/>
    <x v="3"/>
    <x v="6"/>
    <x v="4"/>
    <x v="2"/>
  </r>
  <r>
    <s v="TX500671"/>
    <x v="12"/>
    <x v="12"/>
    <n v="38.5"/>
    <x v="608"/>
    <x v="28"/>
    <d v="2025-02-09T00:00:00"/>
    <x v="2"/>
    <x v="0"/>
    <x v="0"/>
    <x v="0"/>
    <x v="3"/>
    <x v="11"/>
    <x v="4"/>
    <x v="2"/>
  </r>
  <r>
    <s v="TX500672"/>
    <x v="7"/>
    <x v="1"/>
    <n v="105"/>
    <x v="609"/>
    <x v="28"/>
    <d v="2025-02-04T00:00:00"/>
    <x v="2"/>
    <x v="0"/>
    <x v="2"/>
    <x v="0"/>
    <x v="3"/>
    <x v="4"/>
    <x v="4"/>
    <x v="2"/>
  </r>
  <r>
    <s v="TX500673"/>
    <x v="8"/>
    <x v="9"/>
    <n v="45.2"/>
    <x v="326"/>
    <x v="28"/>
    <d v="2025-01-31T00:00:00"/>
    <x v="2"/>
    <x v="0"/>
    <x v="2"/>
    <x v="0"/>
    <x v="3"/>
    <x v="1"/>
    <x v="4"/>
    <x v="2"/>
  </r>
  <r>
    <s v="TX500674"/>
    <x v="17"/>
    <x v="2"/>
    <n v="24.8"/>
    <x v="610"/>
    <x v="28"/>
    <d v="2025-01-29T00:00:00"/>
    <x v="0"/>
    <x v="0"/>
    <x v="1"/>
    <x v="0"/>
    <x v="3"/>
    <x v="7"/>
    <x v="4"/>
    <x v="0"/>
  </r>
  <r>
    <s v="TX500675"/>
    <x v="11"/>
    <x v="12"/>
    <n v="43.8"/>
    <x v="122"/>
    <x v="28"/>
    <d v="2025-02-05T00:00:00"/>
    <x v="2"/>
    <x v="1"/>
    <x v="2"/>
    <x v="0"/>
    <x v="6"/>
    <x v="6"/>
    <x v="4"/>
    <x v="2"/>
  </r>
  <r>
    <s v="TX500676"/>
    <x v="1"/>
    <x v="0"/>
    <n v="75"/>
    <x v="611"/>
    <x v="28"/>
    <d v="2025-01-31T00:00:00"/>
    <x v="2"/>
    <x v="4"/>
    <x v="1"/>
    <x v="0"/>
    <x v="6"/>
    <x v="1"/>
    <x v="4"/>
    <x v="2"/>
  </r>
  <r>
    <s v="TX500677"/>
    <x v="2"/>
    <x v="0"/>
    <n v="169.9"/>
    <x v="612"/>
    <x v="28"/>
    <d v="2025-01-30T00:00:00"/>
    <x v="1"/>
    <x v="2"/>
    <x v="0"/>
    <x v="0"/>
    <x v="6"/>
    <x v="3"/>
    <x v="4"/>
    <x v="1"/>
  </r>
  <r>
    <s v="TX500678"/>
    <x v="9"/>
    <x v="1"/>
    <n v="72.2"/>
    <x v="613"/>
    <x v="28"/>
    <d v="2025-01-31T00:00:00"/>
    <x v="2"/>
    <x v="4"/>
    <x v="1"/>
    <x v="0"/>
    <x v="6"/>
    <x v="1"/>
    <x v="4"/>
    <x v="2"/>
  </r>
  <r>
    <s v="TX500679"/>
    <x v="0"/>
    <x v="0"/>
    <n v="20"/>
    <x v="614"/>
    <x v="29"/>
    <d v="2025-02-02T00:00:00"/>
    <x v="2"/>
    <x v="2"/>
    <x v="1"/>
    <x v="0"/>
    <x v="7"/>
    <x v="2"/>
    <x v="4"/>
    <x v="2"/>
  </r>
  <r>
    <s v="TX500680"/>
    <x v="9"/>
    <x v="1"/>
    <n v="40.799999999999997"/>
    <x v="330"/>
    <x v="29"/>
    <d v="2025-02-01T00:00:00"/>
    <x v="2"/>
    <x v="3"/>
    <x v="2"/>
    <x v="0"/>
    <x v="8"/>
    <x v="1"/>
    <x v="4"/>
    <x v="2"/>
  </r>
  <r>
    <s v="TX500681"/>
    <x v="10"/>
    <x v="12"/>
    <n v="58"/>
    <x v="615"/>
    <x v="29"/>
    <d v="2025-02-03T00:00:00"/>
    <x v="2"/>
    <x v="0"/>
    <x v="0"/>
    <x v="0"/>
    <x v="8"/>
    <x v="5"/>
    <x v="4"/>
    <x v="2"/>
  </r>
  <r>
    <s v="TX500682"/>
    <x v="12"/>
    <x v="1"/>
    <n v="43.1"/>
    <x v="616"/>
    <x v="29"/>
    <d v="2025-01-31T00:00:00"/>
    <x v="2"/>
    <x v="1"/>
    <x v="2"/>
    <x v="0"/>
    <x v="8"/>
    <x v="3"/>
    <x v="4"/>
    <x v="2"/>
  </r>
  <r>
    <s v="TX500683"/>
    <x v="6"/>
    <x v="11"/>
    <n v="74.7"/>
    <x v="617"/>
    <x v="29"/>
    <d v="2025-02-01T00:00:00"/>
    <x v="1"/>
    <x v="0"/>
    <x v="2"/>
    <x v="0"/>
    <x v="8"/>
    <x v="1"/>
    <x v="4"/>
    <x v="1"/>
  </r>
  <r>
    <s v="TX500684"/>
    <x v="6"/>
    <x v="0"/>
    <n v="128.19999999999999"/>
    <x v="618"/>
    <x v="29"/>
    <d v="2025-01-30T00:00:00"/>
    <x v="1"/>
    <x v="1"/>
    <x v="0"/>
    <x v="0"/>
    <x v="8"/>
    <x v="7"/>
    <x v="4"/>
    <x v="1"/>
  </r>
  <r>
    <s v="TX500685"/>
    <x v="14"/>
    <x v="12"/>
    <n v="26.7"/>
    <x v="619"/>
    <x v="29"/>
    <d v="2025-01-31T00:00:00"/>
    <x v="1"/>
    <x v="1"/>
    <x v="0"/>
    <x v="0"/>
    <x v="8"/>
    <x v="3"/>
    <x v="4"/>
    <x v="1"/>
  </r>
  <r>
    <s v="TX500686"/>
    <x v="17"/>
    <x v="13"/>
    <n v="31.5"/>
    <x v="620"/>
    <x v="29"/>
    <d v="2025-01-31T00:00:00"/>
    <x v="2"/>
    <x v="2"/>
    <x v="0"/>
    <x v="0"/>
    <x v="17"/>
    <x v="3"/>
    <x v="4"/>
    <x v="2"/>
  </r>
  <r>
    <s v="TX500687"/>
    <x v="3"/>
    <x v="3"/>
    <n v="64.7"/>
    <x v="621"/>
    <x v="29"/>
    <d v="2025-01-31T00:00:00"/>
    <x v="2"/>
    <x v="0"/>
    <x v="2"/>
    <x v="0"/>
    <x v="9"/>
    <x v="3"/>
    <x v="4"/>
    <x v="2"/>
  </r>
  <r>
    <s v="TX500688"/>
    <x v="5"/>
    <x v="1"/>
    <n v="55.6"/>
    <x v="622"/>
    <x v="29"/>
    <d v="2025-02-02T00:00:00"/>
    <x v="2"/>
    <x v="3"/>
    <x v="0"/>
    <x v="0"/>
    <x v="11"/>
    <x v="2"/>
    <x v="4"/>
    <x v="2"/>
  </r>
  <r>
    <s v="TX500689"/>
    <x v="3"/>
    <x v="1"/>
    <n v="36.200000000000003"/>
    <x v="623"/>
    <x v="29"/>
    <d v="2025-01-31T00:00:00"/>
    <x v="2"/>
    <x v="3"/>
    <x v="0"/>
    <x v="0"/>
    <x v="11"/>
    <x v="3"/>
    <x v="4"/>
    <x v="2"/>
  </r>
  <r>
    <s v="TX500690"/>
    <x v="0"/>
    <x v="0"/>
    <n v="26.6"/>
    <x v="534"/>
    <x v="29"/>
    <d v="2025-01-31T00:00:00"/>
    <x v="0"/>
    <x v="1"/>
    <x v="1"/>
    <x v="0"/>
    <x v="19"/>
    <x v="3"/>
    <x v="4"/>
    <x v="0"/>
  </r>
  <r>
    <s v="TX500691"/>
    <x v="10"/>
    <x v="12"/>
    <n v="31.5"/>
    <x v="624"/>
    <x v="29"/>
    <d v="2025-02-01T00:00:00"/>
    <x v="1"/>
    <x v="0"/>
    <x v="0"/>
    <x v="0"/>
    <x v="31"/>
    <x v="1"/>
    <x v="4"/>
    <x v="1"/>
  </r>
  <r>
    <s v="TX500692"/>
    <x v="10"/>
    <x v="0"/>
    <n v="27"/>
    <x v="49"/>
    <x v="29"/>
    <d v="2025-02-01T00:00:00"/>
    <x v="2"/>
    <x v="1"/>
    <x v="2"/>
    <x v="0"/>
    <x v="13"/>
    <x v="1"/>
    <x v="4"/>
    <x v="2"/>
  </r>
  <r>
    <s v="TX500693"/>
    <x v="4"/>
    <x v="0"/>
    <n v="32"/>
    <x v="109"/>
    <x v="29"/>
    <d v="2025-02-02T00:00:00"/>
    <x v="1"/>
    <x v="3"/>
    <x v="0"/>
    <x v="0"/>
    <x v="21"/>
    <x v="2"/>
    <x v="4"/>
    <x v="1"/>
  </r>
  <r>
    <s v="TX500694"/>
    <x v="1"/>
    <x v="2"/>
    <n v="48.1"/>
    <x v="625"/>
    <x v="29"/>
    <d v="2025-02-01T00:00:00"/>
    <x v="1"/>
    <x v="2"/>
    <x v="1"/>
    <x v="0"/>
    <x v="1"/>
    <x v="1"/>
    <x v="4"/>
    <x v="1"/>
  </r>
  <r>
    <s v="TX500695"/>
    <x v="9"/>
    <x v="1"/>
    <n v="43.4"/>
    <x v="626"/>
    <x v="29"/>
    <d v="2025-01-31T00:00:00"/>
    <x v="1"/>
    <x v="1"/>
    <x v="1"/>
    <x v="0"/>
    <x v="22"/>
    <x v="3"/>
    <x v="4"/>
    <x v="1"/>
  </r>
  <r>
    <s v="TX500696"/>
    <x v="6"/>
    <x v="1"/>
    <n v="42.6"/>
    <x v="464"/>
    <x v="29"/>
    <d v="2025-02-02T00:00:00"/>
    <x v="2"/>
    <x v="3"/>
    <x v="0"/>
    <x v="0"/>
    <x v="22"/>
    <x v="2"/>
    <x v="4"/>
    <x v="2"/>
  </r>
  <r>
    <s v="TX500697"/>
    <x v="8"/>
    <x v="1"/>
    <n v="15.9"/>
    <x v="627"/>
    <x v="29"/>
    <d v="2025-01-31T00:00:00"/>
    <x v="2"/>
    <x v="0"/>
    <x v="0"/>
    <x v="0"/>
    <x v="34"/>
    <x v="3"/>
    <x v="4"/>
    <x v="2"/>
  </r>
  <r>
    <s v="TX500698"/>
    <x v="9"/>
    <x v="1"/>
    <n v="63.2"/>
    <x v="628"/>
    <x v="29"/>
    <d v="2025-01-31T00:00:00"/>
    <x v="1"/>
    <x v="1"/>
    <x v="0"/>
    <x v="0"/>
    <x v="3"/>
    <x v="3"/>
    <x v="4"/>
    <x v="1"/>
  </r>
  <r>
    <s v="TX500699"/>
    <x v="7"/>
    <x v="12"/>
    <n v="64.8"/>
    <x v="629"/>
    <x v="29"/>
    <d v="2025-02-01T00:00:00"/>
    <x v="0"/>
    <x v="4"/>
    <x v="1"/>
    <x v="0"/>
    <x v="3"/>
    <x v="1"/>
    <x v="4"/>
    <x v="0"/>
  </r>
  <r>
    <s v="TX500700"/>
    <x v="7"/>
    <x v="2"/>
    <n v="79.8"/>
    <x v="342"/>
    <x v="29"/>
    <d v="2025-01-31T00:00:00"/>
    <x v="1"/>
    <x v="0"/>
    <x v="0"/>
    <x v="0"/>
    <x v="3"/>
    <x v="3"/>
    <x v="4"/>
    <x v="1"/>
  </r>
  <r>
    <s v="TX500701"/>
    <x v="9"/>
    <x v="0"/>
    <n v="54.4"/>
    <x v="630"/>
    <x v="29"/>
    <d v="2025-02-01T00:00:00"/>
    <x v="2"/>
    <x v="4"/>
    <x v="2"/>
    <x v="0"/>
    <x v="3"/>
    <x v="1"/>
    <x v="4"/>
    <x v="2"/>
  </r>
  <r>
    <s v="TX500702"/>
    <x v="6"/>
    <x v="0"/>
    <n v="87.3"/>
    <x v="631"/>
    <x v="29"/>
    <d v="2025-01-31T00:00:00"/>
    <x v="1"/>
    <x v="1"/>
    <x v="0"/>
    <x v="0"/>
    <x v="3"/>
    <x v="3"/>
    <x v="4"/>
    <x v="1"/>
  </r>
  <r>
    <s v="TX500703"/>
    <x v="8"/>
    <x v="12"/>
    <n v="32.4"/>
    <x v="632"/>
    <x v="29"/>
    <d v="2025-01-30T00:00:00"/>
    <x v="1"/>
    <x v="1"/>
    <x v="0"/>
    <x v="0"/>
    <x v="3"/>
    <x v="7"/>
    <x v="4"/>
    <x v="1"/>
  </r>
  <r>
    <s v="TX500704"/>
    <x v="2"/>
    <x v="0"/>
    <n v="177.4"/>
    <x v="633"/>
    <x v="29"/>
    <d v="2025-02-03T00:00:00"/>
    <x v="1"/>
    <x v="0"/>
    <x v="2"/>
    <x v="0"/>
    <x v="3"/>
    <x v="5"/>
    <x v="4"/>
    <x v="1"/>
  </r>
  <r>
    <s v="TX500705"/>
    <x v="7"/>
    <x v="1"/>
    <n v="70.099999999999994"/>
    <x v="634"/>
    <x v="29"/>
    <d v="2025-01-31T00:00:00"/>
    <x v="1"/>
    <x v="3"/>
    <x v="1"/>
    <x v="0"/>
    <x v="3"/>
    <x v="3"/>
    <x v="4"/>
    <x v="1"/>
  </r>
  <r>
    <s v="TX500706"/>
    <x v="9"/>
    <x v="13"/>
    <n v="51.1"/>
    <x v="567"/>
    <x v="29"/>
    <d v="2025-01-31T00:00:00"/>
    <x v="2"/>
    <x v="0"/>
    <x v="0"/>
    <x v="0"/>
    <x v="3"/>
    <x v="3"/>
    <x v="4"/>
    <x v="2"/>
  </r>
  <r>
    <s v="TX500707"/>
    <x v="2"/>
    <x v="9"/>
    <n v="79.900000000000006"/>
    <x v="635"/>
    <x v="29"/>
    <d v="2025-02-01T00:00:00"/>
    <x v="1"/>
    <x v="3"/>
    <x v="2"/>
    <x v="0"/>
    <x v="24"/>
    <x v="1"/>
    <x v="4"/>
    <x v="1"/>
  </r>
  <r>
    <s v="TX500708"/>
    <x v="6"/>
    <x v="0"/>
    <n v="57.6"/>
    <x v="636"/>
    <x v="30"/>
    <d v="2025-02-05T00:00:00"/>
    <x v="1"/>
    <x v="0"/>
    <x v="2"/>
    <x v="0"/>
    <x v="49"/>
    <x v="0"/>
    <x v="4"/>
    <x v="1"/>
  </r>
  <r>
    <s v="TX500709"/>
    <x v="8"/>
    <x v="7"/>
    <n v="59.7"/>
    <x v="637"/>
    <x v="30"/>
    <d v="2025-02-04T00:00:00"/>
    <x v="1"/>
    <x v="2"/>
    <x v="0"/>
    <x v="0"/>
    <x v="25"/>
    <x v="5"/>
    <x v="4"/>
    <x v="1"/>
  </r>
  <r>
    <s v="TX500710"/>
    <x v="8"/>
    <x v="9"/>
    <n v="30"/>
    <x v="638"/>
    <x v="30"/>
    <d v="2025-02-02T00:00:00"/>
    <x v="1"/>
    <x v="1"/>
    <x v="0"/>
    <x v="0"/>
    <x v="6"/>
    <x v="1"/>
    <x v="4"/>
    <x v="1"/>
  </r>
  <r>
    <s v="TX500711"/>
    <x v="10"/>
    <x v="1"/>
    <n v="69.2"/>
    <x v="639"/>
    <x v="30"/>
    <d v="2025-02-02T00:00:00"/>
    <x v="0"/>
    <x v="2"/>
    <x v="1"/>
    <x v="0"/>
    <x v="6"/>
    <x v="1"/>
    <x v="4"/>
    <x v="0"/>
  </r>
  <r>
    <s v="TX500712"/>
    <x v="0"/>
    <x v="8"/>
    <n v="10.9"/>
    <x v="640"/>
    <x v="30"/>
    <d v="2025-02-01T00:00:00"/>
    <x v="2"/>
    <x v="0"/>
    <x v="2"/>
    <x v="0"/>
    <x v="6"/>
    <x v="3"/>
    <x v="4"/>
    <x v="2"/>
  </r>
  <r>
    <s v="TX500713"/>
    <x v="16"/>
    <x v="1"/>
    <n v="48.6"/>
    <x v="451"/>
    <x v="30"/>
    <d v="2025-02-04T00:00:00"/>
    <x v="1"/>
    <x v="1"/>
    <x v="2"/>
    <x v="0"/>
    <x v="6"/>
    <x v="5"/>
    <x v="4"/>
    <x v="1"/>
  </r>
  <r>
    <s v="TX500714"/>
    <x v="2"/>
    <x v="1"/>
    <n v="61.1"/>
    <x v="641"/>
    <x v="30"/>
    <d v="2025-02-03T00:00:00"/>
    <x v="2"/>
    <x v="1"/>
    <x v="2"/>
    <x v="0"/>
    <x v="7"/>
    <x v="2"/>
    <x v="4"/>
    <x v="2"/>
  </r>
  <r>
    <s v="TX500715"/>
    <x v="8"/>
    <x v="1"/>
    <n v="23.2"/>
    <x v="434"/>
    <x v="30"/>
    <d v="2025-02-01T00:00:00"/>
    <x v="1"/>
    <x v="3"/>
    <x v="2"/>
    <x v="0"/>
    <x v="8"/>
    <x v="3"/>
    <x v="4"/>
    <x v="1"/>
  </r>
  <r>
    <s v="TX500716"/>
    <x v="12"/>
    <x v="12"/>
    <n v="55.8"/>
    <x v="642"/>
    <x v="30"/>
    <d v="2025-02-01T00:00:00"/>
    <x v="1"/>
    <x v="0"/>
    <x v="0"/>
    <x v="0"/>
    <x v="8"/>
    <x v="3"/>
    <x v="4"/>
    <x v="1"/>
  </r>
  <r>
    <s v="TX500717"/>
    <x v="9"/>
    <x v="12"/>
    <n v="24.8"/>
    <x v="643"/>
    <x v="30"/>
    <d v="2025-02-01T00:00:00"/>
    <x v="2"/>
    <x v="0"/>
    <x v="2"/>
    <x v="0"/>
    <x v="8"/>
    <x v="3"/>
    <x v="4"/>
    <x v="2"/>
  </r>
  <r>
    <s v="TX500718"/>
    <x v="10"/>
    <x v="1"/>
    <n v="27.9"/>
    <x v="391"/>
    <x v="30"/>
    <d v="2025-01-31T00:00:00"/>
    <x v="1"/>
    <x v="2"/>
    <x v="2"/>
    <x v="0"/>
    <x v="8"/>
    <x v="7"/>
    <x v="4"/>
    <x v="1"/>
  </r>
  <r>
    <s v="TX500719"/>
    <x v="10"/>
    <x v="13"/>
    <n v="51.1"/>
    <x v="567"/>
    <x v="30"/>
    <d v="2025-01-31T00:00:00"/>
    <x v="2"/>
    <x v="3"/>
    <x v="0"/>
    <x v="0"/>
    <x v="8"/>
    <x v="7"/>
    <x v="4"/>
    <x v="2"/>
  </r>
  <r>
    <s v="TX500720"/>
    <x v="17"/>
    <x v="5"/>
    <n v="32.700000000000003"/>
    <x v="644"/>
    <x v="30"/>
    <d v="2025-02-01T00:00:00"/>
    <x v="1"/>
    <x v="4"/>
    <x v="2"/>
    <x v="0"/>
    <x v="17"/>
    <x v="3"/>
    <x v="4"/>
    <x v="1"/>
  </r>
  <r>
    <s v="TX500721"/>
    <x v="8"/>
    <x v="12"/>
    <n v="22.5"/>
    <x v="645"/>
    <x v="30"/>
    <d v="2025-01-31T00:00:00"/>
    <x v="1"/>
    <x v="0"/>
    <x v="2"/>
    <x v="0"/>
    <x v="26"/>
    <x v="7"/>
    <x v="4"/>
    <x v="1"/>
  </r>
  <r>
    <s v="TX500722"/>
    <x v="0"/>
    <x v="3"/>
    <n v="14.6"/>
    <x v="646"/>
    <x v="30"/>
    <d v="2025-02-01T00:00:00"/>
    <x v="2"/>
    <x v="2"/>
    <x v="0"/>
    <x v="0"/>
    <x v="41"/>
    <x v="3"/>
    <x v="4"/>
    <x v="2"/>
  </r>
  <r>
    <s v="TX500723"/>
    <x v="5"/>
    <x v="2"/>
    <n v="32.5"/>
    <x v="647"/>
    <x v="30"/>
    <d v="2025-02-03T00:00:00"/>
    <x v="1"/>
    <x v="0"/>
    <x v="0"/>
    <x v="0"/>
    <x v="10"/>
    <x v="2"/>
    <x v="4"/>
    <x v="1"/>
  </r>
  <r>
    <s v="TX500724"/>
    <x v="18"/>
    <x v="0"/>
    <n v="78.099999999999994"/>
    <x v="648"/>
    <x v="30"/>
    <d v="2025-02-03T00:00:00"/>
    <x v="1"/>
    <x v="0"/>
    <x v="2"/>
    <x v="0"/>
    <x v="11"/>
    <x v="2"/>
    <x v="4"/>
    <x v="1"/>
  </r>
  <r>
    <s v="TX500725"/>
    <x v="12"/>
    <x v="13"/>
    <n v="110.2"/>
    <x v="649"/>
    <x v="30"/>
    <d v="2025-01-31T00:00:00"/>
    <x v="1"/>
    <x v="1"/>
    <x v="4"/>
    <x v="0"/>
    <x v="13"/>
    <x v="7"/>
    <x v="4"/>
    <x v="1"/>
  </r>
  <r>
    <s v="TX500726"/>
    <x v="6"/>
    <x v="2"/>
    <n v="86.3"/>
    <x v="650"/>
    <x v="30"/>
    <d v="2025-02-02T00:00:00"/>
    <x v="2"/>
    <x v="3"/>
    <x v="0"/>
    <x v="0"/>
    <x v="21"/>
    <x v="1"/>
    <x v="4"/>
    <x v="2"/>
  </r>
  <r>
    <s v="TX500727"/>
    <x v="1"/>
    <x v="13"/>
    <n v="73.599999999999994"/>
    <x v="651"/>
    <x v="30"/>
    <d v="2025-02-02T00:00:00"/>
    <x v="3"/>
    <x v="3"/>
    <x v="4"/>
    <x v="0"/>
    <x v="44"/>
    <x v="1"/>
    <x v="4"/>
    <x v="3"/>
  </r>
  <r>
    <s v="TX500728"/>
    <x v="6"/>
    <x v="15"/>
    <n v="67.7"/>
    <x v="652"/>
    <x v="30"/>
    <d v="2025-02-02T00:00:00"/>
    <x v="2"/>
    <x v="0"/>
    <x v="2"/>
    <x v="0"/>
    <x v="3"/>
    <x v="1"/>
    <x v="4"/>
    <x v="2"/>
  </r>
  <r>
    <s v="TX500729"/>
    <x v="7"/>
    <x v="13"/>
    <n v="142.19999999999999"/>
    <x v="653"/>
    <x v="30"/>
    <d v="2025-02-01T00:00:00"/>
    <x v="2"/>
    <x v="2"/>
    <x v="4"/>
    <x v="0"/>
    <x v="3"/>
    <x v="3"/>
    <x v="4"/>
    <x v="2"/>
  </r>
  <r>
    <s v="TX500730"/>
    <x v="1"/>
    <x v="11"/>
    <n v="45.8"/>
    <x v="654"/>
    <x v="30"/>
    <d v="2025-02-02T00:00:00"/>
    <x v="2"/>
    <x v="1"/>
    <x v="2"/>
    <x v="0"/>
    <x v="3"/>
    <x v="1"/>
    <x v="4"/>
    <x v="2"/>
  </r>
  <r>
    <s v="TX500731"/>
    <x v="10"/>
    <x v="1"/>
    <n v="24.2"/>
    <x v="655"/>
    <x v="31"/>
    <d v="2025-02-04T00:00:00"/>
    <x v="2"/>
    <x v="3"/>
    <x v="2"/>
    <x v="0"/>
    <x v="3"/>
    <x v="2"/>
    <x v="4"/>
    <x v="2"/>
  </r>
  <r>
    <s v="TX500732"/>
    <x v="2"/>
    <x v="2"/>
    <n v="144.9"/>
    <x v="656"/>
    <x v="31"/>
    <d v="2025-02-02T00:00:00"/>
    <x v="3"/>
    <x v="2"/>
    <x v="2"/>
    <x v="0"/>
    <x v="3"/>
    <x v="3"/>
    <x v="4"/>
    <x v="3"/>
  </r>
  <r>
    <s v="TX500733"/>
    <x v="11"/>
    <x v="9"/>
    <n v="32.799999999999997"/>
    <x v="657"/>
    <x v="31"/>
    <d v="2025-02-04T00:00:00"/>
    <x v="2"/>
    <x v="2"/>
    <x v="0"/>
    <x v="0"/>
    <x v="23"/>
    <x v="2"/>
    <x v="4"/>
    <x v="2"/>
  </r>
  <r>
    <s v="TX500734"/>
    <x v="7"/>
    <x v="7"/>
    <n v="35.700000000000003"/>
    <x v="658"/>
    <x v="31"/>
    <d v="2025-02-01T00:00:00"/>
    <x v="2"/>
    <x v="0"/>
    <x v="1"/>
    <x v="0"/>
    <x v="6"/>
    <x v="7"/>
    <x v="4"/>
    <x v="2"/>
  </r>
  <r>
    <s v="TX500735"/>
    <x v="9"/>
    <x v="1"/>
    <n v="54.6"/>
    <x v="659"/>
    <x v="31"/>
    <d v="2025-02-02T00:00:00"/>
    <x v="2"/>
    <x v="2"/>
    <x v="0"/>
    <x v="0"/>
    <x v="6"/>
    <x v="3"/>
    <x v="4"/>
    <x v="2"/>
  </r>
  <r>
    <s v="TX500736"/>
    <x v="8"/>
    <x v="1"/>
    <n v="35.700000000000003"/>
    <x v="660"/>
    <x v="31"/>
    <d v="2025-02-04T00:00:00"/>
    <x v="0"/>
    <x v="0"/>
    <x v="1"/>
    <x v="0"/>
    <x v="6"/>
    <x v="2"/>
    <x v="4"/>
    <x v="0"/>
  </r>
  <r>
    <s v="TX500737"/>
    <x v="10"/>
    <x v="1"/>
    <n v="52.4"/>
    <x v="661"/>
    <x v="31"/>
    <d v="2025-02-01T00:00:00"/>
    <x v="2"/>
    <x v="0"/>
    <x v="3"/>
    <x v="0"/>
    <x v="6"/>
    <x v="7"/>
    <x v="4"/>
    <x v="2"/>
  </r>
  <r>
    <s v="TX500738"/>
    <x v="8"/>
    <x v="21"/>
    <n v="16.2"/>
    <x v="662"/>
    <x v="31"/>
    <d v="2025-02-02T00:00:00"/>
    <x v="0"/>
    <x v="0"/>
    <x v="1"/>
    <x v="0"/>
    <x v="8"/>
    <x v="3"/>
    <x v="4"/>
    <x v="0"/>
  </r>
  <r>
    <s v="TX500739"/>
    <x v="6"/>
    <x v="35"/>
    <n v="42.8"/>
    <x v="663"/>
    <x v="31"/>
    <d v="2025-02-02T00:00:00"/>
    <x v="2"/>
    <x v="0"/>
    <x v="0"/>
    <x v="0"/>
    <x v="8"/>
    <x v="3"/>
    <x v="4"/>
    <x v="2"/>
  </r>
  <r>
    <s v="TX500740"/>
    <x v="6"/>
    <x v="11"/>
    <n v="144.4"/>
    <x v="664"/>
    <x v="31"/>
    <d v="2025-02-04T00:00:00"/>
    <x v="2"/>
    <x v="4"/>
    <x v="0"/>
    <x v="0"/>
    <x v="8"/>
    <x v="2"/>
    <x v="4"/>
    <x v="2"/>
  </r>
  <r>
    <s v="TX500741"/>
    <x v="3"/>
    <x v="34"/>
    <n v="30.6"/>
    <x v="665"/>
    <x v="31"/>
    <d v="2025-02-05T00:00:00"/>
    <x v="2"/>
    <x v="2"/>
    <x v="2"/>
    <x v="0"/>
    <x v="11"/>
    <x v="5"/>
    <x v="4"/>
    <x v="2"/>
  </r>
  <r>
    <s v="TX500742"/>
    <x v="2"/>
    <x v="1"/>
    <n v="117.5"/>
    <x v="666"/>
    <x v="31"/>
    <d v="2025-02-02T00:00:00"/>
    <x v="1"/>
    <x v="0"/>
    <x v="0"/>
    <x v="0"/>
    <x v="19"/>
    <x v="3"/>
    <x v="4"/>
    <x v="1"/>
  </r>
  <r>
    <s v="TX500743"/>
    <x v="6"/>
    <x v="1"/>
    <n v="105.7"/>
    <x v="667"/>
    <x v="31"/>
    <d v="2025-02-02T00:00:00"/>
    <x v="2"/>
    <x v="2"/>
    <x v="2"/>
    <x v="0"/>
    <x v="21"/>
    <x v="3"/>
    <x v="4"/>
    <x v="2"/>
  </r>
  <r>
    <s v="TX500744"/>
    <x v="3"/>
    <x v="2"/>
    <n v="133.69999999999999"/>
    <x v="668"/>
    <x v="31"/>
    <d v="2025-02-02T00:00:00"/>
    <x v="0"/>
    <x v="4"/>
    <x v="2"/>
    <x v="0"/>
    <x v="21"/>
    <x v="3"/>
    <x v="4"/>
    <x v="0"/>
  </r>
  <r>
    <s v="TX500745"/>
    <x v="4"/>
    <x v="9"/>
    <n v="46.8"/>
    <x v="540"/>
    <x v="32"/>
    <d v="2025-02-10T00:00:00"/>
    <x v="2"/>
    <x v="0"/>
    <x v="1"/>
    <x v="0"/>
    <x v="21"/>
    <x v="9"/>
    <x v="5"/>
    <x v="2"/>
  </r>
  <r>
    <s v="TX500746"/>
    <x v="10"/>
    <x v="2"/>
    <n v="58.4"/>
    <x v="122"/>
    <x v="32"/>
    <d v="2025-02-04T00:00:00"/>
    <x v="2"/>
    <x v="0"/>
    <x v="0"/>
    <x v="0"/>
    <x v="1"/>
    <x v="1"/>
    <x v="5"/>
    <x v="2"/>
  </r>
  <r>
    <s v="TX500747"/>
    <x v="6"/>
    <x v="11"/>
    <n v="65.099999999999994"/>
    <x v="669"/>
    <x v="32"/>
    <d v="2025-02-06T00:00:00"/>
    <x v="1"/>
    <x v="1"/>
    <x v="2"/>
    <x v="0"/>
    <x v="22"/>
    <x v="5"/>
    <x v="5"/>
    <x v="1"/>
  </r>
  <r>
    <s v="TX500748"/>
    <x v="8"/>
    <x v="0"/>
    <n v="18.600000000000001"/>
    <x v="670"/>
    <x v="32"/>
    <d v="2025-02-05T00:00:00"/>
    <x v="2"/>
    <x v="0"/>
    <x v="4"/>
    <x v="0"/>
    <x v="22"/>
    <x v="2"/>
    <x v="5"/>
    <x v="2"/>
  </r>
  <r>
    <s v="TX500749"/>
    <x v="1"/>
    <x v="5"/>
    <n v="92.3"/>
    <x v="671"/>
    <x v="32"/>
    <d v="2025-02-04T00:00:00"/>
    <x v="1"/>
    <x v="1"/>
    <x v="0"/>
    <x v="0"/>
    <x v="3"/>
    <x v="1"/>
    <x v="5"/>
    <x v="1"/>
  </r>
  <r>
    <s v="TX500750"/>
    <x v="6"/>
    <x v="2"/>
    <n v="81.7"/>
    <x v="672"/>
    <x v="32"/>
    <d v="2025-02-03T00:00:00"/>
    <x v="0"/>
    <x v="4"/>
    <x v="4"/>
    <x v="0"/>
    <x v="3"/>
    <x v="3"/>
    <x v="5"/>
    <x v="0"/>
  </r>
  <r>
    <s v="TX500751"/>
    <x v="8"/>
    <x v="1"/>
    <n v="40.9"/>
    <x v="673"/>
    <x v="32"/>
    <d v="2025-02-04T00:00:00"/>
    <x v="1"/>
    <x v="0"/>
    <x v="1"/>
    <x v="0"/>
    <x v="3"/>
    <x v="1"/>
    <x v="5"/>
    <x v="1"/>
  </r>
  <r>
    <s v="TX500752"/>
    <x v="6"/>
    <x v="12"/>
    <n v="43.2"/>
    <x v="162"/>
    <x v="32"/>
    <d v="2025-02-08T00:00:00"/>
    <x v="2"/>
    <x v="0"/>
    <x v="1"/>
    <x v="0"/>
    <x v="3"/>
    <x v="4"/>
    <x v="5"/>
    <x v="2"/>
  </r>
  <r>
    <s v="TX500753"/>
    <x v="8"/>
    <x v="5"/>
    <n v="25.8"/>
    <x v="674"/>
    <x v="32"/>
    <d v="2025-02-05T00:00:00"/>
    <x v="1"/>
    <x v="2"/>
    <x v="1"/>
    <x v="0"/>
    <x v="3"/>
    <x v="2"/>
    <x v="5"/>
    <x v="1"/>
  </r>
  <r>
    <s v="TX500754"/>
    <x v="15"/>
    <x v="12"/>
    <n v="36.4"/>
    <x v="675"/>
    <x v="32"/>
    <d v="2025-02-03T00:00:00"/>
    <x v="1"/>
    <x v="0"/>
    <x v="0"/>
    <x v="0"/>
    <x v="3"/>
    <x v="3"/>
    <x v="5"/>
    <x v="1"/>
  </r>
  <r>
    <s v="TX500755"/>
    <x v="10"/>
    <x v="0"/>
    <n v="59.1"/>
    <x v="676"/>
    <x v="32"/>
    <d v="2025-02-03T00:00:00"/>
    <x v="2"/>
    <x v="2"/>
    <x v="0"/>
    <x v="0"/>
    <x v="7"/>
    <x v="3"/>
    <x v="5"/>
    <x v="2"/>
  </r>
  <r>
    <s v="TX500756"/>
    <x v="2"/>
    <x v="14"/>
    <n v="74.5"/>
    <x v="677"/>
    <x v="32"/>
    <d v="2025-02-04T00:00:00"/>
    <x v="1"/>
    <x v="4"/>
    <x v="0"/>
    <x v="0"/>
    <x v="18"/>
    <x v="1"/>
    <x v="5"/>
    <x v="1"/>
  </r>
  <r>
    <s v="TX500757"/>
    <x v="5"/>
    <x v="0"/>
    <n v="72.8"/>
    <x v="236"/>
    <x v="32"/>
    <d v="2025-02-03T00:00:00"/>
    <x v="2"/>
    <x v="0"/>
    <x v="1"/>
    <x v="0"/>
    <x v="19"/>
    <x v="3"/>
    <x v="5"/>
    <x v="2"/>
  </r>
  <r>
    <s v="TX500758"/>
    <x v="6"/>
    <x v="12"/>
    <n v="137.30000000000001"/>
    <x v="678"/>
    <x v="32"/>
    <d v="2025-02-05T00:00:00"/>
    <x v="2"/>
    <x v="0"/>
    <x v="0"/>
    <x v="0"/>
    <x v="13"/>
    <x v="2"/>
    <x v="5"/>
    <x v="2"/>
  </r>
  <r>
    <s v="TX500759"/>
    <x v="1"/>
    <x v="2"/>
    <n v="48.7"/>
    <x v="599"/>
    <x v="32"/>
    <d v="2025-02-07T00:00:00"/>
    <x v="2"/>
    <x v="0"/>
    <x v="1"/>
    <x v="0"/>
    <x v="21"/>
    <x v="0"/>
    <x v="5"/>
    <x v="2"/>
  </r>
  <r>
    <s v="TX500760"/>
    <x v="6"/>
    <x v="12"/>
    <n v="53.7"/>
    <x v="679"/>
    <x v="32"/>
    <d v="2025-02-06T00:00:00"/>
    <x v="1"/>
    <x v="1"/>
    <x v="4"/>
    <x v="0"/>
    <x v="2"/>
    <x v="5"/>
    <x v="5"/>
    <x v="1"/>
  </r>
  <r>
    <s v="TX500761"/>
    <x v="2"/>
    <x v="3"/>
    <n v="100.9"/>
    <x v="680"/>
    <x v="32"/>
    <d v="2025-02-04T00:00:00"/>
    <x v="2"/>
    <x v="0"/>
    <x v="1"/>
    <x v="0"/>
    <x v="2"/>
    <x v="1"/>
    <x v="5"/>
    <x v="2"/>
  </r>
  <r>
    <s v="TX500762"/>
    <x v="10"/>
    <x v="1"/>
    <n v="41.8"/>
    <x v="681"/>
    <x v="32"/>
    <d v="2025-02-06T00:00:00"/>
    <x v="1"/>
    <x v="3"/>
    <x v="2"/>
    <x v="0"/>
    <x v="22"/>
    <x v="5"/>
    <x v="5"/>
    <x v="1"/>
  </r>
  <r>
    <s v="TX500763"/>
    <x v="4"/>
    <x v="8"/>
    <n v="28.5"/>
    <x v="416"/>
    <x v="32"/>
    <d v="2025-02-04T00:00:00"/>
    <x v="1"/>
    <x v="2"/>
    <x v="1"/>
    <x v="0"/>
    <x v="3"/>
    <x v="1"/>
    <x v="5"/>
    <x v="1"/>
  </r>
  <r>
    <s v="TX500764"/>
    <x v="7"/>
    <x v="12"/>
    <n v="88.9"/>
    <x v="682"/>
    <x v="32"/>
    <d v="2025-02-05T00:00:00"/>
    <x v="2"/>
    <x v="0"/>
    <x v="2"/>
    <x v="0"/>
    <x v="3"/>
    <x v="2"/>
    <x v="5"/>
    <x v="2"/>
  </r>
  <r>
    <s v="TX500765"/>
    <x v="6"/>
    <x v="0"/>
    <n v="62.5"/>
    <x v="683"/>
    <x v="32"/>
    <d v="2025-02-11T00:00:00"/>
    <x v="2"/>
    <x v="0"/>
    <x v="2"/>
    <x v="0"/>
    <x v="3"/>
    <x v="8"/>
    <x v="5"/>
    <x v="2"/>
  </r>
  <r>
    <s v="TX500766"/>
    <x v="1"/>
    <x v="2"/>
    <n v="46.9"/>
    <x v="684"/>
    <x v="32"/>
    <d v="2025-02-03T00:00:00"/>
    <x v="1"/>
    <x v="0"/>
    <x v="2"/>
    <x v="0"/>
    <x v="3"/>
    <x v="3"/>
    <x v="5"/>
    <x v="1"/>
  </r>
  <r>
    <s v="TX500767"/>
    <x v="8"/>
    <x v="2"/>
    <n v="45"/>
    <x v="340"/>
    <x v="32"/>
    <d v="2025-02-16T00:00:00"/>
    <x v="1"/>
    <x v="1"/>
    <x v="0"/>
    <x v="0"/>
    <x v="3"/>
    <x v="12"/>
    <x v="5"/>
    <x v="1"/>
  </r>
  <r>
    <s v="TX500768"/>
    <x v="6"/>
    <x v="2"/>
    <n v="45.2"/>
    <x v="685"/>
    <x v="32"/>
    <d v="2025-02-04T00:00:00"/>
    <x v="1"/>
    <x v="4"/>
    <x v="2"/>
    <x v="0"/>
    <x v="3"/>
    <x v="1"/>
    <x v="5"/>
    <x v="1"/>
  </r>
  <r>
    <s v="TX500769"/>
    <x v="4"/>
    <x v="1"/>
    <n v="60.1"/>
    <x v="493"/>
    <x v="32"/>
    <d v="2025-02-03T00:00:00"/>
    <x v="2"/>
    <x v="0"/>
    <x v="2"/>
    <x v="0"/>
    <x v="3"/>
    <x v="3"/>
    <x v="5"/>
    <x v="2"/>
  </r>
  <r>
    <s v="TX500770"/>
    <x v="12"/>
    <x v="12"/>
    <n v="118.7"/>
    <x v="686"/>
    <x v="32"/>
    <d v="2025-02-04T00:00:00"/>
    <x v="2"/>
    <x v="0"/>
    <x v="0"/>
    <x v="0"/>
    <x v="3"/>
    <x v="1"/>
    <x v="5"/>
    <x v="2"/>
  </r>
  <r>
    <s v="TX500771"/>
    <x v="9"/>
    <x v="0"/>
    <n v="57.8"/>
    <x v="687"/>
    <x v="32"/>
    <d v="2025-02-11T00:00:00"/>
    <x v="2"/>
    <x v="1"/>
    <x v="0"/>
    <x v="0"/>
    <x v="3"/>
    <x v="8"/>
    <x v="5"/>
    <x v="2"/>
  </r>
  <r>
    <s v="TX500772"/>
    <x v="4"/>
    <x v="0"/>
    <n v="19.5"/>
    <x v="688"/>
    <x v="32"/>
    <d v="2025-02-03T00:00:00"/>
    <x v="1"/>
    <x v="1"/>
    <x v="1"/>
    <x v="0"/>
    <x v="3"/>
    <x v="3"/>
    <x v="5"/>
    <x v="1"/>
  </r>
  <r>
    <s v="TX500773"/>
    <x v="12"/>
    <x v="0"/>
    <n v="42.6"/>
    <x v="440"/>
    <x v="32"/>
    <d v="2025-02-03T00:00:00"/>
    <x v="1"/>
    <x v="0"/>
    <x v="1"/>
    <x v="0"/>
    <x v="3"/>
    <x v="3"/>
    <x v="5"/>
    <x v="1"/>
  </r>
  <r>
    <s v="TX500774"/>
    <x v="6"/>
    <x v="1"/>
    <n v="74.8"/>
    <x v="689"/>
    <x v="32"/>
    <d v="2025-02-03T00:00:00"/>
    <x v="2"/>
    <x v="3"/>
    <x v="2"/>
    <x v="0"/>
    <x v="37"/>
    <x v="3"/>
    <x v="5"/>
    <x v="2"/>
  </r>
  <r>
    <s v="TX500775"/>
    <x v="8"/>
    <x v="2"/>
    <n v="32.5"/>
    <x v="647"/>
    <x v="32"/>
    <d v="2025-02-03T00:00:00"/>
    <x v="1"/>
    <x v="2"/>
    <x v="4"/>
    <x v="0"/>
    <x v="16"/>
    <x v="3"/>
    <x v="5"/>
    <x v="1"/>
  </r>
  <r>
    <s v="TX500776"/>
    <x v="2"/>
    <x v="2"/>
    <n v="60.5"/>
    <x v="690"/>
    <x v="32"/>
    <d v="2025-02-02T00:00:00"/>
    <x v="2"/>
    <x v="1"/>
    <x v="2"/>
    <x v="0"/>
    <x v="25"/>
    <x v="7"/>
    <x v="5"/>
    <x v="2"/>
  </r>
  <r>
    <s v="TX500777"/>
    <x v="1"/>
    <x v="3"/>
    <n v="57.2"/>
    <x v="691"/>
    <x v="32"/>
    <d v="2025-02-04T00:00:00"/>
    <x v="0"/>
    <x v="2"/>
    <x v="0"/>
    <x v="0"/>
    <x v="25"/>
    <x v="1"/>
    <x v="5"/>
    <x v="0"/>
  </r>
  <r>
    <s v="TX500778"/>
    <x v="16"/>
    <x v="1"/>
    <n v="112"/>
    <x v="692"/>
    <x v="32"/>
    <d v="2025-02-03T00:00:00"/>
    <x v="2"/>
    <x v="1"/>
    <x v="1"/>
    <x v="0"/>
    <x v="5"/>
    <x v="3"/>
    <x v="5"/>
    <x v="2"/>
  </r>
  <r>
    <s v="TX500779"/>
    <x v="7"/>
    <x v="7"/>
    <n v="49"/>
    <x v="157"/>
    <x v="32"/>
    <d v="2025-02-03T00:00:00"/>
    <x v="3"/>
    <x v="2"/>
    <x v="1"/>
    <x v="0"/>
    <x v="6"/>
    <x v="3"/>
    <x v="5"/>
    <x v="3"/>
  </r>
  <r>
    <s v="TX500780"/>
    <x v="0"/>
    <x v="1"/>
    <n v="33.700000000000003"/>
    <x v="693"/>
    <x v="32"/>
    <d v="2025-02-06T00:00:00"/>
    <x v="2"/>
    <x v="3"/>
    <x v="0"/>
    <x v="0"/>
    <x v="6"/>
    <x v="5"/>
    <x v="5"/>
    <x v="2"/>
  </r>
  <r>
    <s v="TX500781"/>
    <x v="4"/>
    <x v="2"/>
    <n v="35.6"/>
    <x v="694"/>
    <x v="32"/>
    <d v="2025-02-05T00:00:00"/>
    <x v="2"/>
    <x v="0"/>
    <x v="2"/>
    <x v="0"/>
    <x v="6"/>
    <x v="2"/>
    <x v="5"/>
    <x v="2"/>
  </r>
  <r>
    <s v="TX500782"/>
    <x v="4"/>
    <x v="36"/>
    <n v="30.4"/>
    <x v="695"/>
    <x v="33"/>
    <d v="2025-02-03T00:00:00"/>
    <x v="2"/>
    <x v="0"/>
    <x v="1"/>
    <x v="0"/>
    <x v="7"/>
    <x v="7"/>
    <x v="5"/>
    <x v="2"/>
  </r>
  <r>
    <s v="TX500783"/>
    <x v="10"/>
    <x v="4"/>
    <n v="50.2"/>
    <x v="696"/>
    <x v="33"/>
    <d v="2025-02-04T00:00:00"/>
    <x v="1"/>
    <x v="4"/>
    <x v="0"/>
    <x v="0"/>
    <x v="8"/>
    <x v="3"/>
    <x v="5"/>
    <x v="1"/>
  </r>
  <r>
    <s v="TX500784"/>
    <x v="1"/>
    <x v="1"/>
    <n v="43.7"/>
    <x v="697"/>
    <x v="33"/>
    <d v="2025-02-05T00:00:00"/>
    <x v="2"/>
    <x v="0"/>
    <x v="0"/>
    <x v="0"/>
    <x v="8"/>
    <x v="1"/>
    <x v="5"/>
    <x v="2"/>
  </r>
  <r>
    <s v="TX500785"/>
    <x v="10"/>
    <x v="0"/>
    <n v="33.299999999999997"/>
    <x v="698"/>
    <x v="33"/>
    <d v="2025-02-04T00:00:00"/>
    <x v="2"/>
    <x v="2"/>
    <x v="1"/>
    <x v="0"/>
    <x v="8"/>
    <x v="3"/>
    <x v="5"/>
    <x v="2"/>
  </r>
  <r>
    <s v="TX500786"/>
    <x v="8"/>
    <x v="12"/>
    <n v="15.1"/>
    <x v="266"/>
    <x v="33"/>
    <d v="2025-02-05T00:00:00"/>
    <x v="2"/>
    <x v="4"/>
    <x v="2"/>
    <x v="0"/>
    <x v="8"/>
    <x v="1"/>
    <x v="5"/>
    <x v="2"/>
  </r>
  <r>
    <s v="TX500787"/>
    <x v="6"/>
    <x v="9"/>
    <n v="118.2"/>
    <x v="699"/>
    <x v="33"/>
    <d v="2025-02-04T00:00:00"/>
    <x v="2"/>
    <x v="3"/>
    <x v="4"/>
    <x v="0"/>
    <x v="8"/>
    <x v="3"/>
    <x v="5"/>
    <x v="2"/>
  </r>
  <r>
    <s v="TX500788"/>
    <x v="10"/>
    <x v="2"/>
    <n v="28.9"/>
    <x v="700"/>
    <x v="33"/>
    <d v="2025-02-05T00:00:00"/>
    <x v="2"/>
    <x v="2"/>
    <x v="1"/>
    <x v="0"/>
    <x v="8"/>
    <x v="1"/>
    <x v="5"/>
    <x v="2"/>
  </r>
  <r>
    <s v="TX500789"/>
    <x v="4"/>
    <x v="2"/>
    <n v="55.6"/>
    <x v="701"/>
    <x v="33"/>
    <d v="2025-02-04T00:00:00"/>
    <x v="1"/>
    <x v="0"/>
    <x v="1"/>
    <x v="0"/>
    <x v="8"/>
    <x v="3"/>
    <x v="5"/>
    <x v="1"/>
  </r>
  <r>
    <s v="TX500790"/>
    <x v="9"/>
    <x v="12"/>
    <n v="25.6"/>
    <x v="298"/>
    <x v="33"/>
    <d v="2025-02-05T00:00:00"/>
    <x v="2"/>
    <x v="0"/>
    <x v="1"/>
    <x v="0"/>
    <x v="8"/>
    <x v="1"/>
    <x v="5"/>
    <x v="2"/>
  </r>
  <r>
    <s v="TX500791"/>
    <x v="7"/>
    <x v="2"/>
    <n v="31.3"/>
    <x v="442"/>
    <x v="33"/>
    <d v="2025-02-04T00:00:00"/>
    <x v="1"/>
    <x v="0"/>
    <x v="0"/>
    <x v="0"/>
    <x v="17"/>
    <x v="3"/>
    <x v="5"/>
    <x v="1"/>
  </r>
  <r>
    <s v="TX500792"/>
    <x v="0"/>
    <x v="2"/>
    <n v="22.1"/>
    <x v="702"/>
    <x v="33"/>
    <d v="2025-02-07T00:00:00"/>
    <x v="1"/>
    <x v="0"/>
    <x v="0"/>
    <x v="0"/>
    <x v="17"/>
    <x v="5"/>
    <x v="5"/>
    <x v="1"/>
  </r>
  <r>
    <s v="TX500793"/>
    <x v="2"/>
    <x v="21"/>
    <n v="99.4"/>
    <x v="703"/>
    <x v="33"/>
    <d v="2025-02-04T00:00:00"/>
    <x v="1"/>
    <x v="1"/>
    <x v="0"/>
    <x v="0"/>
    <x v="11"/>
    <x v="3"/>
    <x v="5"/>
    <x v="1"/>
  </r>
  <r>
    <s v="TX500794"/>
    <x v="7"/>
    <x v="13"/>
    <n v="66.599999999999994"/>
    <x v="704"/>
    <x v="33"/>
    <d v="2025-02-04T00:00:00"/>
    <x v="2"/>
    <x v="0"/>
    <x v="0"/>
    <x v="0"/>
    <x v="11"/>
    <x v="3"/>
    <x v="5"/>
    <x v="2"/>
  </r>
  <r>
    <s v="TX500795"/>
    <x v="8"/>
    <x v="1"/>
    <n v="22.6"/>
    <x v="705"/>
    <x v="33"/>
    <d v="2025-02-06T00:00:00"/>
    <x v="1"/>
    <x v="0"/>
    <x v="0"/>
    <x v="0"/>
    <x v="11"/>
    <x v="2"/>
    <x v="5"/>
    <x v="1"/>
  </r>
  <r>
    <s v="TX500796"/>
    <x v="2"/>
    <x v="16"/>
    <n v="66.8"/>
    <x v="706"/>
    <x v="33"/>
    <d v="2025-02-04T00:00:00"/>
    <x v="2"/>
    <x v="0"/>
    <x v="4"/>
    <x v="0"/>
    <x v="13"/>
    <x v="3"/>
    <x v="5"/>
    <x v="2"/>
  </r>
  <r>
    <s v="TX500797"/>
    <x v="0"/>
    <x v="12"/>
    <n v="20.8"/>
    <x v="707"/>
    <x v="33"/>
    <d v="2025-02-10T00:00:00"/>
    <x v="1"/>
    <x v="1"/>
    <x v="4"/>
    <x v="0"/>
    <x v="1"/>
    <x v="6"/>
    <x v="5"/>
    <x v="1"/>
  </r>
  <r>
    <s v="TX500798"/>
    <x v="2"/>
    <x v="3"/>
    <n v="102.5"/>
    <x v="708"/>
    <x v="33"/>
    <d v="2025-02-04T00:00:00"/>
    <x v="2"/>
    <x v="4"/>
    <x v="2"/>
    <x v="0"/>
    <x v="3"/>
    <x v="3"/>
    <x v="5"/>
    <x v="2"/>
  </r>
  <r>
    <s v="TX500799"/>
    <x v="0"/>
    <x v="16"/>
    <n v="24.8"/>
    <x v="709"/>
    <x v="33"/>
    <d v="2025-02-07T00:00:00"/>
    <x v="2"/>
    <x v="0"/>
    <x v="0"/>
    <x v="0"/>
    <x v="3"/>
    <x v="5"/>
    <x v="5"/>
    <x v="2"/>
  </r>
  <r>
    <s v="TX500800"/>
    <x v="4"/>
    <x v="37"/>
    <n v="31.4"/>
    <x v="710"/>
    <x v="33"/>
    <d v="2025-02-04T00:00:00"/>
    <x v="2"/>
    <x v="3"/>
    <x v="0"/>
    <x v="0"/>
    <x v="3"/>
    <x v="3"/>
    <x v="5"/>
    <x v="2"/>
  </r>
  <r>
    <s v="TX500801"/>
    <x v="9"/>
    <x v="9"/>
    <n v="59.3"/>
    <x v="711"/>
    <x v="33"/>
    <d v="2025-02-06T00:00:00"/>
    <x v="1"/>
    <x v="1"/>
    <x v="2"/>
    <x v="0"/>
    <x v="43"/>
    <x v="2"/>
    <x v="5"/>
    <x v="1"/>
  </r>
  <r>
    <s v="TX500802"/>
    <x v="11"/>
    <x v="13"/>
    <n v="39"/>
    <x v="540"/>
    <x v="33"/>
    <d v="2025-02-06T00:00:00"/>
    <x v="1"/>
    <x v="1"/>
    <x v="0"/>
    <x v="0"/>
    <x v="6"/>
    <x v="2"/>
    <x v="5"/>
    <x v="1"/>
  </r>
  <r>
    <s v="TX500803"/>
    <x v="5"/>
    <x v="13"/>
    <n v="98.6"/>
    <x v="712"/>
    <x v="33"/>
    <d v="2025-02-05T00:00:00"/>
    <x v="2"/>
    <x v="1"/>
    <x v="0"/>
    <x v="0"/>
    <x v="6"/>
    <x v="1"/>
    <x v="5"/>
    <x v="2"/>
  </r>
  <r>
    <s v="TX500804"/>
    <x v="8"/>
    <x v="0"/>
    <n v="20"/>
    <x v="614"/>
    <x v="34"/>
    <d v="2025-02-05T00:00:00"/>
    <x v="1"/>
    <x v="3"/>
    <x v="2"/>
    <x v="0"/>
    <x v="8"/>
    <x v="3"/>
    <x v="5"/>
    <x v="1"/>
  </r>
  <r>
    <s v="TX500805"/>
    <x v="1"/>
    <x v="1"/>
    <n v="42.9"/>
    <x v="550"/>
    <x v="34"/>
    <d v="2025-02-06T00:00:00"/>
    <x v="2"/>
    <x v="0"/>
    <x v="2"/>
    <x v="0"/>
    <x v="8"/>
    <x v="1"/>
    <x v="5"/>
    <x v="2"/>
  </r>
  <r>
    <s v="TX500806"/>
    <x v="7"/>
    <x v="3"/>
    <n v="55.6"/>
    <x v="713"/>
    <x v="34"/>
    <d v="2025-02-06T00:00:00"/>
    <x v="2"/>
    <x v="2"/>
    <x v="1"/>
    <x v="0"/>
    <x v="8"/>
    <x v="1"/>
    <x v="5"/>
    <x v="2"/>
  </r>
  <r>
    <s v="TX500807"/>
    <x v="8"/>
    <x v="12"/>
    <n v="19.2"/>
    <x v="714"/>
    <x v="34"/>
    <d v="2025-02-09T00:00:00"/>
    <x v="2"/>
    <x v="0"/>
    <x v="0"/>
    <x v="0"/>
    <x v="41"/>
    <x v="0"/>
    <x v="5"/>
    <x v="2"/>
  </r>
  <r>
    <s v="TX500808"/>
    <x v="5"/>
    <x v="1"/>
    <n v="28.8"/>
    <x v="636"/>
    <x v="34"/>
    <d v="2025-02-06T00:00:00"/>
    <x v="1"/>
    <x v="1"/>
    <x v="0"/>
    <x v="0"/>
    <x v="18"/>
    <x v="1"/>
    <x v="5"/>
    <x v="1"/>
  </r>
  <r>
    <s v="TX500809"/>
    <x v="4"/>
    <x v="0"/>
    <n v="29.7"/>
    <x v="47"/>
    <x v="34"/>
    <d v="2025-02-06T00:00:00"/>
    <x v="2"/>
    <x v="2"/>
    <x v="4"/>
    <x v="0"/>
    <x v="20"/>
    <x v="1"/>
    <x v="5"/>
    <x v="2"/>
  </r>
  <r>
    <s v="TX500810"/>
    <x v="6"/>
    <x v="13"/>
    <n v="63.3"/>
    <x v="715"/>
    <x v="34"/>
    <d v="2025-02-05T00:00:00"/>
    <x v="0"/>
    <x v="0"/>
    <x v="2"/>
    <x v="0"/>
    <x v="21"/>
    <x v="3"/>
    <x v="5"/>
    <x v="0"/>
  </r>
  <r>
    <s v="TX500811"/>
    <x v="4"/>
    <x v="0"/>
    <n v="46"/>
    <x v="716"/>
    <x v="34"/>
    <d v="2025-02-05T00:00:00"/>
    <x v="2"/>
    <x v="0"/>
    <x v="2"/>
    <x v="0"/>
    <x v="21"/>
    <x v="3"/>
    <x v="5"/>
    <x v="2"/>
  </r>
  <r>
    <s v="TX500812"/>
    <x v="11"/>
    <x v="2"/>
    <n v="38"/>
    <x v="717"/>
    <x v="34"/>
    <d v="2025-02-06T00:00:00"/>
    <x v="2"/>
    <x v="1"/>
    <x v="2"/>
    <x v="0"/>
    <x v="21"/>
    <x v="1"/>
    <x v="5"/>
    <x v="2"/>
  </r>
  <r>
    <s v="TX500813"/>
    <x v="10"/>
    <x v="15"/>
    <n v="34.6"/>
    <x v="327"/>
    <x v="34"/>
    <d v="2025-02-06T00:00:00"/>
    <x v="2"/>
    <x v="0"/>
    <x v="1"/>
    <x v="0"/>
    <x v="21"/>
    <x v="1"/>
    <x v="5"/>
    <x v="2"/>
  </r>
  <r>
    <s v="TX500814"/>
    <x v="3"/>
    <x v="7"/>
    <n v="79.7"/>
    <x v="718"/>
    <x v="34"/>
    <d v="2025-02-05T00:00:00"/>
    <x v="2"/>
    <x v="4"/>
    <x v="1"/>
    <x v="0"/>
    <x v="21"/>
    <x v="3"/>
    <x v="5"/>
    <x v="2"/>
  </r>
  <r>
    <s v="TX500815"/>
    <x v="8"/>
    <x v="8"/>
    <n v="30.5"/>
    <x v="719"/>
    <x v="34"/>
    <d v="2025-02-08T00:00:00"/>
    <x v="1"/>
    <x v="3"/>
    <x v="0"/>
    <x v="0"/>
    <x v="1"/>
    <x v="5"/>
    <x v="5"/>
    <x v="1"/>
  </r>
  <r>
    <s v="TX500816"/>
    <x v="0"/>
    <x v="1"/>
    <n v="20.8"/>
    <x v="480"/>
    <x v="34"/>
    <d v="2025-02-05T00:00:00"/>
    <x v="2"/>
    <x v="0"/>
    <x v="0"/>
    <x v="0"/>
    <x v="2"/>
    <x v="3"/>
    <x v="5"/>
    <x v="2"/>
  </r>
  <r>
    <s v="TX500817"/>
    <x v="11"/>
    <x v="3"/>
    <n v="48.5"/>
    <x v="720"/>
    <x v="34"/>
    <d v="2025-02-08T00:00:00"/>
    <x v="2"/>
    <x v="2"/>
    <x v="2"/>
    <x v="0"/>
    <x v="2"/>
    <x v="5"/>
    <x v="5"/>
    <x v="2"/>
  </r>
  <r>
    <s v="TX500818"/>
    <x v="2"/>
    <x v="12"/>
    <n v="61.8"/>
    <x v="721"/>
    <x v="34"/>
    <d v="2025-02-08T00:00:00"/>
    <x v="2"/>
    <x v="4"/>
    <x v="0"/>
    <x v="0"/>
    <x v="22"/>
    <x v="5"/>
    <x v="5"/>
    <x v="2"/>
  </r>
  <r>
    <s v="TX500819"/>
    <x v="10"/>
    <x v="0"/>
    <n v="46.1"/>
    <x v="722"/>
    <x v="34"/>
    <d v="2025-02-05T00:00:00"/>
    <x v="3"/>
    <x v="2"/>
    <x v="0"/>
    <x v="0"/>
    <x v="3"/>
    <x v="3"/>
    <x v="5"/>
    <x v="3"/>
  </r>
  <r>
    <s v="TX500820"/>
    <x v="4"/>
    <x v="13"/>
    <n v="44"/>
    <x v="723"/>
    <x v="34"/>
    <d v="2025-02-05T00:00:00"/>
    <x v="2"/>
    <x v="0"/>
    <x v="0"/>
    <x v="0"/>
    <x v="3"/>
    <x v="3"/>
    <x v="5"/>
    <x v="2"/>
  </r>
  <r>
    <s v="TX500821"/>
    <x v="18"/>
    <x v="1"/>
    <n v="95.7"/>
    <x v="724"/>
    <x v="34"/>
    <d v="2025-02-10T00:00:00"/>
    <x v="2"/>
    <x v="3"/>
    <x v="2"/>
    <x v="0"/>
    <x v="3"/>
    <x v="4"/>
    <x v="5"/>
    <x v="2"/>
  </r>
  <r>
    <s v="TX500822"/>
    <x v="7"/>
    <x v="9"/>
    <n v="46.4"/>
    <x v="615"/>
    <x v="34"/>
    <d v="2025-02-07T00:00:00"/>
    <x v="2"/>
    <x v="0"/>
    <x v="0"/>
    <x v="0"/>
    <x v="3"/>
    <x v="2"/>
    <x v="5"/>
    <x v="2"/>
  </r>
  <r>
    <s v="TX500823"/>
    <x v="6"/>
    <x v="1"/>
    <n v="47.2"/>
    <x v="725"/>
    <x v="34"/>
    <d v="2025-02-06T00:00:00"/>
    <x v="2"/>
    <x v="0"/>
    <x v="2"/>
    <x v="0"/>
    <x v="3"/>
    <x v="1"/>
    <x v="5"/>
    <x v="2"/>
  </r>
  <r>
    <s v="TX500824"/>
    <x v="7"/>
    <x v="1"/>
    <n v="58.6"/>
    <x v="726"/>
    <x v="34"/>
    <d v="2025-02-05T00:00:00"/>
    <x v="2"/>
    <x v="2"/>
    <x v="1"/>
    <x v="0"/>
    <x v="3"/>
    <x v="3"/>
    <x v="5"/>
    <x v="2"/>
  </r>
  <r>
    <s v="TX500825"/>
    <x v="4"/>
    <x v="2"/>
    <n v="57"/>
    <x v="727"/>
    <x v="34"/>
    <d v="2025-02-05T00:00:00"/>
    <x v="1"/>
    <x v="0"/>
    <x v="2"/>
    <x v="0"/>
    <x v="3"/>
    <x v="3"/>
    <x v="5"/>
    <x v="1"/>
  </r>
  <r>
    <s v="TX500826"/>
    <x v="8"/>
    <x v="12"/>
    <n v="28.9"/>
    <x v="446"/>
    <x v="34"/>
    <d v="2025-02-08T00:00:00"/>
    <x v="1"/>
    <x v="2"/>
    <x v="0"/>
    <x v="0"/>
    <x v="3"/>
    <x v="5"/>
    <x v="5"/>
    <x v="1"/>
  </r>
  <r>
    <s v="TX500827"/>
    <x v="12"/>
    <x v="9"/>
    <n v="60.7"/>
    <x v="728"/>
    <x v="34"/>
    <d v="2025-02-08T00:00:00"/>
    <x v="0"/>
    <x v="1"/>
    <x v="1"/>
    <x v="0"/>
    <x v="3"/>
    <x v="5"/>
    <x v="5"/>
    <x v="0"/>
  </r>
  <r>
    <s v="TX500828"/>
    <x v="6"/>
    <x v="9"/>
    <n v="60.8"/>
    <x v="729"/>
    <x v="34"/>
    <d v="2025-02-08T00:00:00"/>
    <x v="1"/>
    <x v="0"/>
    <x v="1"/>
    <x v="0"/>
    <x v="3"/>
    <x v="5"/>
    <x v="5"/>
    <x v="1"/>
  </r>
  <r>
    <s v="TX500829"/>
    <x v="6"/>
    <x v="9"/>
    <n v="64.599999999999994"/>
    <x v="730"/>
    <x v="34"/>
    <d v="2025-02-05T00:00:00"/>
    <x v="2"/>
    <x v="3"/>
    <x v="0"/>
    <x v="0"/>
    <x v="3"/>
    <x v="3"/>
    <x v="5"/>
    <x v="2"/>
  </r>
  <r>
    <s v="TX500830"/>
    <x v="8"/>
    <x v="0"/>
    <n v="21.9"/>
    <x v="731"/>
    <x v="34"/>
    <d v="2025-02-07T00:00:00"/>
    <x v="1"/>
    <x v="1"/>
    <x v="2"/>
    <x v="0"/>
    <x v="4"/>
    <x v="2"/>
    <x v="5"/>
    <x v="1"/>
  </r>
  <r>
    <s v="TX500831"/>
    <x v="4"/>
    <x v="4"/>
    <n v="33.4"/>
    <x v="732"/>
    <x v="34"/>
    <d v="2025-02-06T00:00:00"/>
    <x v="2"/>
    <x v="0"/>
    <x v="0"/>
    <x v="0"/>
    <x v="23"/>
    <x v="1"/>
    <x v="5"/>
    <x v="2"/>
  </r>
  <r>
    <s v="TX500832"/>
    <x v="2"/>
    <x v="0"/>
    <n v="51.7"/>
    <x v="733"/>
    <x v="34"/>
    <d v="2025-02-05T00:00:00"/>
    <x v="0"/>
    <x v="0"/>
    <x v="0"/>
    <x v="0"/>
    <x v="6"/>
    <x v="3"/>
    <x v="5"/>
    <x v="0"/>
  </r>
  <r>
    <s v="TX500833"/>
    <x v="1"/>
    <x v="12"/>
    <n v="84.9"/>
    <x v="734"/>
    <x v="34"/>
    <d v="2025-02-05T00:00:00"/>
    <x v="2"/>
    <x v="1"/>
    <x v="1"/>
    <x v="0"/>
    <x v="6"/>
    <x v="3"/>
    <x v="5"/>
    <x v="2"/>
  </r>
  <r>
    <s v="TX500834"/>
    <x v="1"/>
    <x v="5"/>
    <n v="62.3"/>
    <x v="735"/>
    <x v="34"/>
    <d v="2025-02-05T00:00:00"/>
    <x v="2"/>
    <x v="2"/>
    <x v="2"/>
    <x v="0"/>
    <x v="7"/>
    <x v="3"/>
    <x v="5"/>
    <x v="2"/>
  </r>
  <r>
    <s v="TX500835"/>
    <x v="4"/>
    <x v="0"/>
    <n v="50.7"/>
    <x v="163"/>
    <x v="34"/>
    <d v="2025-02-06T00:00:00"/>
    <x v="1"/>
    <x v="2"/>
    <x v="2"/>
    <x v="0"/>
    <x v="8"/>
    <x v="1"/>
    <x v="5"/>
    <x v="1"/>
  </r>
  <r>
    <s v="TX500836"/>
    <x v="18"/>
    <x v="0"/>
    <n v="39.5"/>
    <x v="736"/>
    <x v="34"/>
    <d v="2025-02-05T00:00:00"/>
    <x v="1"/>
    <x v="4"/>
    <x v="1"/>
    <x v="0"/>
    <x v="8"/>
    <x v="3"/>
    <x v="5"/>
    <x v="1"/>
  </r>
  <r>
    <s v="TX500837"/>
    <x v="12"/>
    <x v="2"/>
    <n v="30.9"/>
    <x v="737"/>
    <x v="34"/>
    <d v="2025-02-05T00:00:00"/>
    <x v="0"/>
    <x v="4"/>
    <x v="2"/>
    <x v="0"/>
    <x v="8"/>
    <x v="3"/>
    <x v="5"/>
    <x v="0"/>
  </r>
  <r>
    <s v="TX500838"/>
    <x v="1"/>
    <x v="3"/>
    <n v="36.4"/>
    <x v="133"/>
    <x v="34"/>
    <d v="2025-02-07T00:00:00"/>
    <x v="2"/>
    <x v="0"/>
    <x v="2"/>
    <x v="0"/>
    <x v="8"/>
    <x v="2"/>
    <x v="5"/>
    <x v="2"/>
  </r>
  <r>
    <s v="TX500839"/>
    <x v="6"/>
    <x v="8"/>
    <n v="105.6"/>
    <x v="738"/>
    <x v="34"/>
    <d v="2025-02-14T00:00:00"/>
    <x v="2"/>
    <x v="0"/>
    <x v="0"/>
    <x v="0"/>
    <x v="8"/>
    <x v="14"/>
    <x v="5"/>
    <x v="2"/>
  </r>
  <r>
    <s v="TX500840"/>
    <x v="8"/>
    <x v="1"/>
    <n v="22.1"/>
    <x v="573"/>
    <x v="34"/>
    <d v="2025-02-05T00:00:00"/>
    <x v="2"/>
    <x v="0"/>
    <x v="2"/>
    <x v="0"/>
    <x v="17"/>
    <x v="3"/>
    <x v="5"/>
    <x v="2"/>
  </r>
  <r>
    <s v="TX500841"/>
    <x v="0"/>
    <x v="2"/>
    <n v="22.6"/>
    <x v="418"/>
    <x v="34"/>
    <d v="2025-02-05T00:00:00"/>
    <x v="2"/>
    <x v="2"/>
    <x v="0"/>
    <x v="0"/>
    <x v="17"/>
    <x v="3"/>
    <x v="5"/>
    <x v="2"/>
  </r>
  <r>
    <s v="TX500842"/>
    <x v="10"/>
    <x v="13"/>
    <n v="26.3"/>
    <x v="739"/>
    <x v="34"/>
    <d v="2025-02-04T00:00:00"/>
    <x v="2"/>
    <x v="2"/>
    <x v="0"/>
    <x v="0"/>
    <x v="9"/>
    <x v="7"/>
    <x v="5"/>
    <x v="2"/>
  </r>
  <r>
    <s v="TX500843"/>
    <x v="1"/>
    <x v="12"/>
    <n v="37.799999999999997"/>
    <x v="277"/>
    <x v="34"/>
    <d v="2025-02-05T00:00:00"/>
    <x v="2"/>
    <x v="0"/>
    <x v="2"/>
    <x v="0"/>
    <x v="11"/>
    <x v="3"/>
    <x v="5"/>
    <x v="2"/>
  </r>
  <r>
    <s v="TX500844"/>
    <x v="6"/>
    <x v="14"/>
    <n v="96"/>
    <x v="740"/>
    <x v="34"/>
    <d v="2025-02-07T00:00:00"/>
    <x v="2"/>
    <x v="4"/>
    <x v="1"/>
    <x v="0"/>
    <x v="18"/>
    <x v="2"/>
    <x v="5"/>
    <x v="2"/>
  </r>
  <r>
    <s v="TX500845"/>
    <x v="1"/>
    <x v="0"/>
    <n v="83.6"/>
    <x v="681"/>
    <x v="34"/>
    <d v="2025-02-07T00:00:00"/>
    <x v="2"/>
    <x v="2"/>
    <x v="1"/>
    <x v="0"/>
    <x v="19"/>
    <x v="2"/>
    <x v="5"/>
    <x v="2"/>
  </r>
  <r>
    <s v="TX500846"/>
    <x v="2"/>
    <x v="13"/>
    <n v="72.599999999999994"/>
    <x v="349"/>
    <x v="34"/>
    <d v="2025-02-05T00:00:00"/>
    <x v="2"/>
    <x v="0"/>
    <x v="0"/>
    <x v="0"/>
    <x v="21"/>
    <x v="3"/>
    <x v="5"/>
    <x v="2"/>
  </r>
  <r>
    <s v="TX500847"/>
    <x v="5"/>
    <x v="28"/>
    <n v="69.099999999999994"/>
    <x v="741"/>
    <x v="35"/>
    <d v="2025-02-11T00:00:00"/>
    <x v="1"/>
    <x v="0"/>
    <x v="2"/>
    <x v="0"/>
    <x v="21"/>
    <x v="4"/>
    <x v="5"/>
    <x v="1"/>
  </r>
  <r>
    <s v="TX500848"/>
    <x v="4"/>
    <x v="1"/>
    <n v="22.6"/>
    <x v="705"/>
    <x v="35"/>
    <d v="2025-02-07T00:00:00"/>
    <x v="2"/>
    <x v="1"/>
    <x v="2"/>
    <x v="0"/>
    <x v="21"/>
    <x v="1"/>
    <x v="5"/>
    <x v="2"/>
  </r>
  <r>
    <s v="TX500849"/>
    <x v="6"/>
    <x v="1"/>
    <n v="45.3"/>
    <x v="742"/>
    <x v="35"/>
    <d v="2025-02-09T00:00:00"/>
    <x v="1"/>
    <x v="4"/>
    <x v="2"/>
    <x v="0"/>
    <x v="21"/>
    <x v="5"/>
    <x v="5"/>
    <x v="1"/>
  </r>
  <r>
    <s v="TX500850"/>
    <x v="2"/>
    <x v="1"/>
    <n v="115.1"/>
    <x v="743"/>
    <x v="35"/>
    <d v="2025-02-06T00:00:00"/>
    <x v="2"/>
    <x v="1"/>
    <x v="0"/>
    <x v="0"/>
    <x v="1"/>
    <x v="3"/>
    <x v="5"/>
    <x v="2"/>
  </r>
  <r>
    <s v="TX500851"/>
    <x v="18"/>
    <x v="12"/>
    <n v="79"/>
    <x v="744"/>
    <x v="35"/>
    <d v="2025-02-07T00:00:00"/>
    <x v="1"/>
    <x v="2"/>
    <x v="4"/>
    <x v="0"/>
    <x v="1"/>
    <x v="1"/>
    <x v="5"/>
    <x v="1"/>
  </r>
  <r>
    <s v="TX500852"/>
    <x v="6"/>
    <x v="9"/>
    <n v="52.8"/>
    <x v="723"/>
    <x v="35"/>
    <d v="2025-02-06T00:00:00"/>
    <x v="2"/>
    <x v="0"/>
    <x v="0"/>
    <x v="0"/>
    <x v="42"/>
    <x v="3"/>
    <x v="5"/>
    <x v="2"/>
  </r>
  <r>
    <s v="TX500853"/>
    <x v="8"/>
    <x v="1"/>
    <n v="34.1"/>
    <x v="745"/>
    <x v="35"/>
    <d v="2025-02-06T00:00:00"/>
    <x v="1"/>
    <x v="3"/>
    <x v="2"/>
    <x v="0"/>
    <x v="44"/>
    <x v="3"/>
    <x v="5"/>
    <x v="1"/>
  </r>
  <r>
    <s v="TX500854"/>
    <x v="6"/>
    <x v="9"/>
    <n v="107.9"/>
    <x v="746"/>
    <x v="35"/>
    <d v="2025-02-05T00:00:00"/>
    <x v="2"/>
    <x v="0"/>
    <x v="2"/>
    <x v="0"/>
    <x v="50"/>
    <x v="7"/>
    <x v="5"/>
    <x v="2"/>
  </r>
  <r>
    <s v="TX500855"/>
    <x v="8"/>
    <x v="15"/>
    <n v="48.5"/>
    <x v="747"/>
    <x v="35"/>
    <d v="2025-02-05T00:00:00"/>
    <x v="1"/>
    <x v="2"/>
    <x v="2"/>
    <x v="0"/>
    <x v="3"/>
    <x v="7"/>
    <x v="5"/>
    <x v="1"/>
  </r>
  <r>
    <s v="TX500856"/>
    <x v="5"/>
    <x v="2"/>
    <n v="34.700000000000003"/>
    <x v="748"/>
    <x v="35"/>
    <d v="2025-02-06T00:00:00"/>
    <x v="0"/>
    <x v="4"/>
    <x v="1"/>
    <x v="0"/>
    <x v="3"/>
    <x v="3"/>
    <x v="5"/>
    <x v="0"/>
  </r>
  <r>
    <s v="TX500857"/>
    <x v="8"/>
    <x v="0"/>
    <n v="16.8"/>
    <x v="749"/>
    <x v="35"/>
    <d v="2025-02-07T00:00:00"/>
    <x v="2"/>
    <x v="3"/>
    <x v="0"/>
    <x v="0"/>
    <x v="3"/>
    <x v="1"/>
    <x v="5"/>
    <x v="2"/>
  </r>
  <r>
    <s v="TX500858"/>
    <x v="8"/>
    <x v="13"/>
    <n v="18.3"/>
    <x v="17"/>
    <x v="35"/>
    <d v="2025-02-08T00:00:00"/>
    <x v="2"/>
    <x v="0"/>
    <x v="0"/>
    <x v="0"/>
    <x v="3"/>
    <x v="2"/>
    <x v="5"/>
    <x v="2"/>
  </r>
  <r>
    <s v="TX500859"/>
    <x v="18"/>
    <x v="2"/>
    <n v="55.9"/>
    <x v="750"/>
    <x v="35"/>
    <d v="2025-02-11T00:00:00"/>
    <x v="1"/>
    <x v="3"/>
    <x v="1"/>
    <x v="0"/>
    <x v="3"/>
    <x v="4"/>
    <x v="5"/>
    <x v="1"/>
  </r>
  <r>
    <s v="TX500860"/>
    <x v="8"/>
    <x v="2"/>
    <n v="39.200000000000003"/>
    <x v="557"/>
    <x v="35"/>
    <d v="2025-02-07T00:00:00"/>
    <x v="2"/>
    <x v="0"/>
    <x v="1"/>
    <x v="0"/>
    <x v="3"/>
    <x v="1"/>
    <x v="5"/>
    <x v="2"/>
  </r>
  <r>
    <s v="TX500861"/>
    <x v="15"/>
    <x v="12"/>
    <n v="66.5"/>
    <x v="751"/>
    <x v="35"/>
    <d v="2025-02-07T00:00:00"/>
    <x v="0"/>
    <x v="3"/>
    <x v="1"/>
    <x v="0"/>
    <x v="3"/>
    <x v="1"/>
    <x v="5"/>
    <x v="0"/>
  </r>
  <r>
    <s v="TX500862"/>
    <x v="6"/>
    <x v="13"/>
    <n v="52.1"/>
    <x v="752"/>
    <x v="35"/>
    <d v="2025-02-07T00:00:00"/>
    <x v="1"/>
    <x v="1"/>
    <x v="1"/>
    <x v="0"/>
    <x v="16"/>
    <x v="1"/>
    <x v="5"/>
    <x v="1"/>
  </r>
  <r>
    <s v="TX500863"/>
    <x v="8"/>
    <x v="1"/>
    <n v="19"/>
    <x v="753"/>
    <x v="35"/>
    <d v="2025-02-06T00:00:00"/>
    <x v="1"/>
    <x v="4"/>
    <x v="2"/>
    <x v="0"/>
    <x v="6"/>
    <x v="3"/>
    <x v="5"/>
    <x v="1"/>
  </r>
  <r>
    <s v="TX500864"/>
    <x v="7"/>
    <x v="2"/>
    <n v="84.8"/>
    <x v="754"/>
    <x v="35"/>
    <d v="2025-02-07T00:00:00"/>
    <x v="2"/>
    <x v="2"/>
    <x v="0"/>
    <x v="0"/>
    <x v="8"/>
    <x v="1"/>
    <x v="5"/>
    <x v="2"/>
  </r>
  <r>
    <s v="TX500865"/>
    <x v="2"/>
    <x v="12"/>
    <n v="63.9"/>
    <x v="755"/>
    <x v="35"/>
    <d v="2025-02-08T00:00:00"/>
    <x v="2"/>
    <x v="0"/>
    <x v="0"/>
    <x v="0"/>
    <x v="8"/>
    <x v="2"/>
    <x v="5"/>
    <x v="2"/>
  </r>
  <r>
    <s v="TX500866"/>
    <x v="2"/>
    <x v="2"/>
    <n v="65.5"/>
    <x v="756"/>
    <x v="35"/>
    <d v="2025-02-05T00:00:00"/>
    <x v="2"/>
    <x v="1"/>
    <x v="1"/>
    <x v="0"/>
    <x v="8"/>
    <x v="7"/>
    <x v="5"/>
    <x v="2"/>
  </r>
  <r>
    <s v="TX500867"/>
    <x v="12"/>
    <x v="1"/>
    <n v="116.2"/>
    <x v="757"/>
    <x v="35"/>
    <d v="2025-02-11T00:00:00"/>
    <x v="1"/>
    <x v="3"/>
    <x v="0"/>
    <x v="0"/>
    <x v="17"/>
    <x v="4"/>
    <x v="5"/>
    <x v="1"/>
  </r>
  <r>
    <s v="TX500868"/>
    <x v="10"/>
    <x v="12"/>
    <n v="22.9"/>
    <x v="758"/>
    <x v="35"/>
    <d v="2025-02-07T00:00:00"/>
    <x v="2"/>
    <x v="2"/>
    <x v="1"/>
    <x v="0"/>
    <x v="38"/>
    <x v="1"/>
    <x v="5"/>
    <x v="2"/>
  </r>
  <r>
    <s v="TX500869"/>
    <x v="10"/>
    <x v="2"/>
    <n v="53.7"/>
    <x v="759"/>
    <x v="35"/>
    <d v="2025-02-06T00:00:00"/>
    <x v="1"/>
    <x v="0"/>
    <x v="4"/>
    <x v="0"/>
    <x v="18"/>
    <x v="3"/>
    <x v="5"/>
    <x v="1"/>
  </r>
  <r>
    <s v="TX500870"/>
    <x v="6"/>
    <x v="9"/>
    <n v="43.2"/>
    <x v="760"/>
    <x v="35"/>
    <d v="2025-02-07T00:00:00"/>
    <x v="2"/>
    <x v="0"/>
    <x v="0"/>
    <x v="0"/>
    <x v="19"/>
    <x v="1"/>
    <x v="5"/>
    <x v="2"/>
  </r>
  <r>
    <s v="TX500871"/>
    <x v="1"/>
    <x v="2"/>
    <n v="84.5"/>
    <x v="103"/>
    <x v="35"/>
    <d v="2025-02-07T00:00:00"/>
    <x v="1"/>
    <x v="2"/>
    <x v="2"/>
    <x v="0"/>
    <x v="51"/>
    <x v="1"/>
    <x v="5"/>
    <x v="1"/>
  </r>
  <r>
    <s v="TX500872"/>
    <x v="3"/>
    <x v="1"/>
    <n v="42.2"/>
    <x v="533"/>
    <x v="35"/>
    <d v="2025-02-06T00:00:00"/>
    <x v="2"/>
    <x v="1"/>
    <x v="2"/>
    <x v="0"/>
    <x v="1"/>
    <x v="3"/>
    <x v="5"/>
    <x v="2"/>
  </r>
  <r>
    <s v="TX500873"/>
    <x v="2"/>
    <x v="13"/>
    <n v="94.7"/>
    <x v="761"/>
    <x v="35"/>
    <d v="2025-02-08T00:00:00"/>
    <x v="2"/>
    <x v="1"/>
    <x v="2"/>
    <x v="0"/>
    <x v="2"/>
    <x v="2"/>
    <x v="5"/>
    <x v="2"/>
  </r>
  <r>
    <s v="TX500874"/>
    <x v="8"/>
    <x v="16"/>
    <n v="16.7"/>
    <x v="182"/>
    <x v="35"/>
    <d v="2025-02-17T00:00:00"/>
    <x v="2"/>
    <x v="0"/>
    <x v="2"/>
    <x v="0"/>
    <x v="2"/>
    <x v="13"/>
    <x v="5"/>
    <x v="2"/>
  </r>
  <r>
    <s v="TX500875"/>
    <x v="2"/>
    <x v="1"/>
    <n v="83.6"/>
    <x v="762"/>
    <x v="35"/>
    <d v="2025-02-11T00:00:00"/>
    <x v="2"/>
    <x v="1"/>
    <x v="0"/>
    <x v="0"/>
    <x v="3"/>
    <x v="4"/>
    <x v="5"/>
    <x v="2"/>
  </r>
  <r>
    <s v="TX500876"/>
    <x v="7"/>
    <x v="13"/>
    <n v="33.6"/>
    <x v="763"/>
    <x v="36"/>
    <d v="2025-02-07T00:00:00"/>
    <x v="2"/>
    <x v="3"/>
    <x v="0"/>
    <x v="0"/>
    <x v="3"/>
    <x v="3"/>
    <x v="5"/>
    <x v="2"/>
  </r>
  <r>
    <s v="TX500877"/>
    <x v="7"/>
    <x v="1"/>
    <n v="64.7"/>
    <x v="385"/>
    <x v="36"/>
    <d v="2025-02-08T00:00:00"/>
    <x v="1"/>
    <x v="1"/>
    <x v="2"/>
    <x v="0"/>
    <x v="3"/>
    <x v="1"/>
    <x v="5"/>
    <x v="1"/>
  </r>
  <r>
    <s v="TX500878"/>
    <x v="0"/>
    <x v="2"/>
    <n v="15.7"/>
    <x v="179"/>
    <x v="36"/>
    <d v="2025-02-12T00:00:00"/>
    <x v="2"/>
    <x v="0"/>
    <x v="0"/>
    <x v="0"/>
    <x v="3"/>
    <x v="4"/>
    <x v="5"/>
    <x v="2"/>
  </r>
  <r>
    <s v="TX500879"/>
    <x v="15"/>
    <x v="13"/>
    <n v="49.4"/>
    <x v="764"/>
    <x v="36"/>
    <d v="2025-02-06T00:00:00"/>
    <x v="1"/>
    <x v="1"/>
    <x v="0"/>
    <x v="0"/>
    <x v="3"/>
    <x v="7"/>
    <x v="5"/>
    <x v="1"/>
  </r>
  <r>
    <s v="TX500880"/>
    <x v="10"/>
    <x v="13"/>
    <n v="37"/>
    <x v="765"/>
    <x v="36"/>
    <d v="2025-02-09T00:00:00"/>
    <x v="2"/>
    <x v="1"/>
    <x v="2"/>
    <x v="0"/>
    <x v="3"/>
    <x v="2"/>
    <x v="5"/>
    <x v="2"/>
  </r>
  <r>
    <s v="TX500881"/>
    <x v="2"/>
    <x v="1"/>
    <n v="83.7"/>
    <x v="589"/>
    <x v="36"/>
    <d v="2025-02-08T00:00:00"/>
    <x v="2"/>
    <x v="3"/>
    <x v="2"/>
    <x v="0"/>
    <x v="3"/>
    <x v="1"/>
    <x v="5"/>
    <x v="2"/>
  </r>
  <r>
    <s v="TX500882"/>
    <x v="1"/>
    <x v="9"/>
    <n v="35.1"/>
    <x v="766"/>
    <x v="36"/>
    <d v="2025-02-07T00:00:00"/>
    <x v="2"/>
    <x v="0"/>
    <x v="0"/>
    <x v="0"/>
    <x v="3"/>
    <x v="3"/>
    <x v="5"/>
    <x v="2"/>
  </r>
  <r>
    <s v="TX500883"/>
    <x v="16"/>
    <x v="8"/>
    <n v="74"/>
    <x v="767"/>
    <x v="36"/>
    <d v="2025-02-07T00:00:00"/>
    <x v="2"/>
    <x v="4"/>
    <x v="0"/>
    <x v="0"/>
    <x v="37"/>
    <x v="3"/>
    <x v="5"/>
    <x v="2"/>
  </r>
  <r>
    <s v="TX500884"/>
    <x v="6"/>
    <x v="25"/>
    <n v="55.5"/>
    <x v="768"/>
    <x v="36"/>
    <d v="2025-02-09T00:00:00"/>
    <x v="1"/>
    <x v="3"/>
    <x v="0"/>
    <x v="0"/>
    <x v="49"/>
    <x v="2"/>
    <x v="5"/>
    <x v="1"/>
  </r>
  <r>
    <s v="TX500885"/>
    <x v="11"/>
    <x v="1"/>
    <n v="38.9"/>
    <x v="482"/>
    <x v="36"/>
    <d v="2025-02-08T00:00:00"/>
    <x v="2"/>
    <x v="1"/>
    <x v="2"/>
    <x v="0"/>
    <x v="25"/>
    <x v="1"/>
    <x v="5"/>
    <x v="2"/>
  </r>
  <r>
    <s v="TX500886"/>
    <x v="16"/>
    <x v="1"/>
    <n v="64.599999999999994"/>
    <x v="769"/>
    <x v="36"/>
    <d v="2025-02-13T00:00:00"/>
    <x v="1"/>
    <x v="2"/>
    <x v="1"/>
    <x v="0"/>
    <x v="25"/>
    <x v="6"/>
    <x v="5"/>
    <x v="1"/>
  </r>
  <r>
    <s v="TX500887"/>
    <x v="2"/>
    <x v="2"/>
    <n v="95.3"/>
    <x v="770"/>
    <x v="36"/>
    <d v="2025-02-07T00:00:00"/>
    <x v="1"/>
    <x v="0"/>
    <x v="0"/>
    <x v="0"/>
    <x v="5"/>
    <x v="3"/>
    <x v="5"/>
    <x v="1"/>
  </r>
  <r>
    <s v="TX500888"/>
    <x v="13"/>
    <x v="2"/>
    <n v="25.8"/>
    <x v="771"/>
    <x v="36"/>
    <d v="2025-02-07T00:00:00"/>
    <x v="2"/>
    <x v="1"/>
    <x v="1"/>
    <x v="0"/>
    <x v="6"/>
    <x v="3"/>
    <x v="5"/>
    <x v="2"/>
  </r>
  <r>
    <s v="TX500889"/>
    <x v="0"/>
    <x v="1"/>
    <n v="11.6"/>
    <x v="772"/>
    <x v="36"/>
    <d v="2025-02-10T00:00:00"/>
    <x v="2"/>
    <x v="1"/>
    <x v="1"/>
    <x v="0"/>
    <x v="6"/>
    <x v="5"/>
    <x v="5"/>
    <x v="2"/>
  </r>
  <r>
    <s v="TX500890"/>
    <x v="7"/>
    <x v="0"/>
    <n v="52.3"/>
    <x v="773"/>
    <x v="36"/>
    <d v="2025-02-07T00:00:00"/>
    <x v="2"/>
    <x v="1"/>
    <x v="0"/>
    <x v="0"/>
    <x v="8"/>
    <x v="3"/>
    <x v="5"/>
    <x v="2"/>
  </r>
  <r>
    <s v="TX500891"/>
    <x v="2"/>
    <x v="7"/>
    <n v="112.2"/>
    <x v="774"/>
    <x v="36"/>
    <d v="2025-02-07T00:00:00"/>
    <x v="2"/>
    <x v="1"/>
    <x v="1"/>
    <x v="0"/>
    <x v="8"/>
    <x v="3"/>
    <x v="5"/>
    <x v="2"/>
  </r>
  <r>
    <s v="TX500892"/>
    <x v="4"/>
    <x v="9"/>
    <n v="34.6"/>
    <x v="775"/>
    <x v="36"/>
    <d v="2025-02-08T00:00:00"/>
    <x v="1"/>
    <x v="2"/>
    <x v="0"/>
    <x v="0"/>
    <x v="8"/>
    <x v="1"/>
    <x v="5"/>
    <x v="1"/>
  </r>
  <r>
    <s v="TX500893"/>
    <x v="14"/>
    <x v="12"/>
    <n v="20.100000000000001"/>
    <x v="48"/>
    <x v="36"/>
    <d v="2025-02-12T00:00:00"/>
    <x v="1"/>
    <x v="1"/>
    <x v="2"/>
    <x v="0"/>
    <x v="8"/>
    <x v="4"/>
    <x v="5"/>
    <x v="1"/>
  </r>
  <r>
    <s v="TX500894"/>
    <x v="2"/>
    <x v="12"/>
    <n v="56.4"/>
    <x v="776"/>
    <x v="36"/>
    <d v="2025-02-08T00:00:00"/>
    <x v="2"/>
    <x v="2"/>
    <x v="0"/>
    <x v="0"/>
    <x v="10"/>
    <x v="1"/>
    <x v="5"/>
    <x v="2"/>
  </r>
  <r>
    <s v="TX500895"/>
    <x v="13"/>
    <x v="11"/>
    <n v="55.3"/>
    <x v="777"/>
    <x v="36"/>
    <d v="2025-02-08T00:00:00"/>
    <x v="2"/>
    <x v="1"/>
    <x v="4"/>
    <x v="0"/>
    <x v="11"/>
    <x v="1"/>
    <x v="5"/>
    <x v="2"/>
  </r>
  <r>
    <s v="TX500896"/>
    <x v="2"/>
    <x v="31"/>
    <n v="75.5"/>
    <x v="778"/>
    <x v="36"/>
    <d v="2025-02-07T00:00:00"/>
    <x v="2"/>
    <x v="0"/>
    <x v="0"/>
    <x v="0"/>
    <x v="11"/>
    <x v="3"/>
    <x v="5"/>
    <x v="2"/>
  </r>
  <r>
    <s v="TX500897"/>
    <x v="8"/>
    <x v="0"/>
    <n v="23.6"/>
    <x v="779"/>
    <x v="36"/>
    <d v="2025-02-11T00:00:00"/>
    <x v="2"/>
    <x v="0"/>
    <x v="0"/>
    <x v="0"/>
    <x v="19"/>
    <x v="0"/>
    <x v="5"/>
    <x v="2"/>
  </r>
  <r>
    <s v="TX500898"/>
    <x v="9"/>
    <x v="1"/>
    <n v="70.7"/>
    <x v="780"/>
    <x v="36"/>
    <d v="2025-02-08T00:00:00"/>
    <x v="2"/>
    <x v="2"/>
    <x v="0"/>
    <x v="0"/>
    <x v="19"/>
    <x v="1"/>
    <x v="5"/>
    <x v="2"/>
  </r>
  <r>
    <s v="TX500899"/>
    <x v="12"/>
    <x v="1"/>
    <n v="43.2"/>
    <x v="781"/>
    <x v="36"/>
    <d v="2025-02-07T00:00:00"/>
    <x v="2"/>
    <x v="2"/>
    <x v="0"/>
    <x v="0"/>
    <x v="31"/>
    <x v="3"/>
    <x v="5"/>
    <x v="2"/>
  </r>
  <r>
    <s v="TX500900"/>
    <x v="9"/>
    <x v="11"/>
    <n v="70"/>
    <x v="782"/>
    <x v="36"/>
    <d v="2025-02-07T00:00:00"/>
    <x v="0"/>
    <x v="1"/>
    <x v="0"/>
    <x v="0"/>
    <x v="52"/>
    <x v="3"/>
    <x v="5"/>
    <x v="0"/>
  </r>
  <r>
    <s v="TX500901"/>
    <x v="0"/>
    <x v="1"/>
    <n v="20.5"/>
    <x v="783"/>
    <x v="36"/>
    <d v="2025-02-08T00:00:00"/>
    <x v="2"/>
    <x v="2"/>
    <x v="4"/>
    <x v="0"/>
    <x v="13"/>
    <x v="1"/>
    <x v="5"/>
    <x v="2"/>
  </r>
  <r>
    <s v="TX500902"/>
    <x v="0"/>
    <x v="12"/>
    <n v="29.1"/>
    <x v="565"/>
    <x v="36"/>
    <d v="2025-02-07T00:00:00"/>
    <x v="2"/>
    <x v="3"/>
    <x v="0"/>
    <x v="0"/>
    <x v="28"/>
    <x v="3"/>
    <x v="5"/>
    <x v="2"/>
  </r>
  <r>
    <s v="TX500903"/>
    <x v="6"/>
    <x v="11"/>
    <n v="53.6"/>
    <x v="784"/>
    <x v="36"/>
    <d v="2025-02-07T00:00:00"/>
    <x v="1"/>
    <x v="2"/>
    <x v="1"/>
    <x v="0"/>
    <x v="3"/>
    <x v="3"/>
    <x v="5"/>
    <x v="1"/>
  </r>
  <r>
    <s v="TX500904"/>
    <x v="6"/>
    <x v="9"/>
    <n v="72.3"/>
    <x v="785"/>
    <x v="36"/>
    <d v="2025-02-08T00:00:00"/>
    <x v="2"/>
    <x v="1"/>
    <x v="0"/>
    <x v="0"/>
    <x v="3"/>
    <x v="1"/>
    <x v="5"/>
    <x v="2"/>
  </r>
  <r>
    <s v="TX500905"/>
    <x v="13"/>
    <x v="12"/>
    <n v="22.6"/>
    <x v="786"/>
    <x v="36"/>
    <d v="2025-02-09T00:00:00"/>
    <x v="3"/>
    <x v="0"/>
    <x v="1"/>
    <x v="0"/>
    <x v="3"/>
    <x v="2"/>
    <x v="5"/>
    <x v="3"/>
  </r>
  <r>
    <s v="TX500906"/>
    <x v="9"/>
    <x v="1"/>
    <n v="44.2"/>
    <x v="787"/>
    <x v="36"/>
    <d v="2025-02-10T00:00:00"/>
    <x v="0"/>
    <x v="2"/>
    <x v="4"/>
    <x v="0"/>
    <x v="3"/>
    <x v="5"/>
    <x v="5"/>
    <x v="0"/>
  </r>
  <r>
    <s v="TX500907"/>
    <x v="9"/>
    <x v="2"/>
    <n v="94.1"/>
    <x v="788"/>
    <x v="36"/>
    <d v="2025-02-19T00:00:00"/>
    <x v="2"/>
    <x v="2"/>
    <x v="2"/>
    <x v="0"/>
    <x v="3"/>
    <x v="10"/>
    <x v="5"/>
    <x v="2"/>
  </r>
  <r>
    <s v="TX500908"/>
    <x v="8"/>
    <x v="2"/>
    <n v="17.899999999999999"/>
    <x v="789"/>
    <x v="36"/>
    <d v="2025-02-08T00:00:00"/>
    <x v="1"/>
    <x v="1"/>
    <x v="1"/>
    <x v="0"/>
    <x v="3"/>
    <x v="1"/>
    <x v="5"/>
    <x v="1"/>
  </r>
  <r>
    <s v="TX500909"/>
    <x v="12"/>
    <x v="3"/>
    <n v="52.7"/>
    <x v="790"/>
    <x v="36"/>
    <d v="2025-02-07T00:00:00"/>
    <x v="1"/>
    <x v="1"/>
    <x v="1"/>
    <x v="0"/>
    <x v="3"/>
    <x v="3"/>
    <x v="5"/>
    <x v="1"/>
  </r>
  <r>
    <s v="TX500910"/>
    <x v="8"/>
    <x v="0"/>
    <n v="36.799999999999997"/>
    <x v="791"/>
    <x v="36"/>
    <d v="2025-02-06T00:00:00"/>
    <x v="0"/>
    <x v="0"/>
    <x v="2"/>
    <x v="0"/>
    <x v="3"/>
    <x v="7"/>
    <x v="5"/>
    <x v="0"/>
  </r>
  <r>
    <s v="TX500911"/>
    <x v="4"/>
    <x v="0"/>
    <n v="52.5"/>
    <x v="413"/>
    <x v="36"/>
    <d v="2025-02-07T00:00:00"/>
    <x v="1"/>
    <x v="0"/>
    <x v="1"/>
    <x v="0"/>
    <x v="6"/>
    <x v="3"/>
    <x v="5"/>
    <x v="1"/>
  </r>
  <r>
    <s v="TX500912"/>
    <x v="2"/>
    <x v="1"/>
    <n v="133.80000000000001"/>
    <x v="792"/>
    <x v="36"/>
    <d v="2025-02-08T00:00:00"/>
    <x v="1"/>
    <x v="0"/>
    <x v="1"/>
    <x v="0"/>
    <x v="7"/>
    <x v="1"/>
    <x v="5"/>
    <x v="1"/>
  </r>
  <r>
    <s v="TX500913"/>
    <x v="6"/>
    <x v="1"/>
    <n v="53.2"/>
    <x v="793"/>
    <x v="36"/>
    <d v="2025-02-08T00:00:00"/>
    <x v="1"/>
    <x v="0"/>
    <x v="0"/>
    <x v="0"/>
    <x v="17"/>
    <x v="1"/>
    <x v="5"/>
    <x v="1"/>
  </r>
  <r>
    <s v="TX500914"/>
    <x v="14"/>
    <x v="13"/>
    <n v="18.7"/>
    <x v="794"/>
    <x v="36"/>
    <d v="2025-02-08T00:00:00"/>
    <x v="0"/>
    <x v="0"/>
    <x v="1"/>
    <x v="0"/>
    <x v="10"/>
    <x v="1"/>
    <x v="5"/>
    <x v="0"/>
  </r>
  <r>
    <s v="TX500915"/>
    <x v="6"/>
    <x v="12"/>
    <n v="108.8"/>
    <x v="795"/>
    <x v="36"/>
    <d v="2025-02-07T00:00:00"/>
    <x v="2"/>
    <x v="3"/>
    <x v="2"/>
    <x v="0"/>
    <x v="11"/>
    <x v="3"/>
    <x v="5"/>
    <x v="2"/>
  </r>
  <r>
    <s v="TX500916"/>
    <x v="15"/>
    <x v="9"/>
    <n v="38.5"/>
    <x v="796"/>
    <x v="36"/>
    <d v="2025-02-10T00:00:00"/>
    <x v="2"/>
    <x v="0"/>
    <x v="1"/>
    <x v="0"/>
    <x v="14"/>
    <x v="5"/>
    <x v="5"/>
    <x v="2"/>
  </r>
  <r>
    <s v="TX500917"/>
    <x v="10"/>
    <x v="7"/>
    <n v="46.5"/>
    <x v="797"/>
    <x v="36"/>
    <d v="2025-02-08T00:00:00"/>
    <x v="1"/>
    <x v="2"/>
    <x v="1"/>
    <x v="0"/>
    <x v="2"/>
    <x v="1"/>
    <x v="5"/>
    <x v="1"/>
  </r>
  <r>
    <s v="TX500918"/>
    <x v="2"/>
    <x v="2"/>
    <n v="75.8"/>
    <x v="129"/>
    <x v="36"/>
    <d v="2025-02-10T00:00:00"/>
    <x v="2"/>
    <x v="1"/>
    <x v="4"/>
    <x v="0"/>
    <x v="44"/>
    <x v="5"/>
    <x v="5"/>
    <x v="2"/>
  </r>
  <r>
    <s v="TX500919"/>
    <x v="8"/>
    <x v="0"/>
    <n v="20.9"/>
    <x v="798"/>
    <x v="36"/>
    <d v="2025-02-10T00:00:00"/>
    <x v="1"/>
    <x v="0"/>
    <x v="0"/>
    <x v="0"/>
    <x v="22"/>
    <x v="5"/>
    <x v="5"/>
    <x v="1"/>
  </r>
  <r>
    <s v="TX500920"/>
    <x v="18"/>
    <x v="2"/>
    <n v="47.4"/>
    <x v="60"/>
    <x v="36"/>
    <d v="2025-02-09T00:00:00"/>
    <x v="2"/>
    <x v="0"/>
    <x v="0"/>
    <x v="0"/>
    <x v="3"/>
    <x v="2"/>
    <x v="5"/>
    <x v="2"/>
  </r>
  <r>
    <s v="TX500921"/>
    <x v="9"/>
    <x v="1"/>
    <n v="53.8"/>
    <x v="799"/>
    <x v="36"/>
    <d v="2025-02-07T00:00:00"/>
    <x v="0"/>
    <x v="0"/>
    <x v="1"/>
    <x v="0"/>
    <x v="3"/>
    <x v="3"/>
    <x v="5"/>
    <x v="0"/>
  </r>
  <r>
    <s v="TX500922"/>
    <x v="8"/>
    <x v="2"/>
    <n v="24.6"/>
    <x v="800"/>
    <x v="36"/>
    <d v="2025-02-08T00:00:00"/>
    <x v="3"/>
    <x v="1"/>
    <x v="2"/>
    <x v="0"/>
    <x v="3"/>
    <x v="1"/>
    <x v="5"/>
    <x v="3"/>
  </r>
  <r>
    <s v="TX500923"/>
    <x v="9"/>
    <x v="2"/>
    <n v="70.900000000000006"/>
    <x v="801"/>
    <x v="36"/>
    <d v="2025-02-11T00:00:00"/>
    <x v="2"/>
    <x v="2"/>
    <x v="2"/>
    <x v="0"/>
    <x v="3"/>
    <x v="0"/>
    <x v="5"/>
    <x v="2"/>
  </r>
  <r>
    <s v="TX500924"/>
    <x v="17"/>
    <x v="2"/>
    <n v="31.9"/>
    <x v="802"/>
    <x v="36"/>
    <d v="2025-02-08T00:00:00"/>
    <x v="2"/>
    <x v="2"/>
    <x v="2"/>
    <x v="0"/>
    <x v="3"/>
    <x v="1"/>
    <x v="5"/>
    <x v="2"/>
  </r>
  <r>
    <s v="TX500925"/>
    <x v="0"/>
    <x v="1"/>
    <n v="20.399999999999999"/>
    <x v="803"/>
    <x v="36"/>
    <d v="2025-02-10T00:00:00"/>
    <x v="1"/>
    <x v="3"/>
    <x v="2"/>
    <x v="0"/>
    <x v="3"/>
    <x v="5"/>
    <x v="5"/>
    <x v="1"/>
  </r>
  <r>
    <s v="TX500926"/>
    <x v="8"/>
    <x v="1"/>
    <n v="18.600000000000001"/>
    <x v="804"/>
    <x v="36"/>
    <d v="2025-02-08T00:00:00"/>
    <x v="0"/>
    <x v="0"/>
    <x v="1"/>
    <x v="0"/>
    <x v="3"/>
    <x v="1"/>
    <x v="5"/>
    <x v="0"/>
  </r>
  <r>
    <s v="TX500927"/>
    <x v="4"/>
    <x v="9"/>
    <n v="48.3"/>
    <x v="805"/>
    <x v="36"/>
    <d v="2025-02-08T00:00:00"/>
    <x v="2"/>
    <x v="1"/>
    <x v="0"/>
    <x v="0"/>
    <x v="3"/>
    <x v="1"/>
    <x v="5"/>
    <x v="2"/>
  </r>
  <r>
    <s v="TX500928"/>
    <x v="0"/>
    <x v="12"/>
    <n v="27.7"/>
    <x v="806"/>
    <x v="36"/>
    <d v="2025-02-08T00:00:00"/>
    <x v="2"/>
    <x v="0"/>
    <x v="0"/>
    <x v="0"/>
    <x v="3"/>
    <x v="1"/>
    <x v="5"/>
    <x v="2"/>
  </r>
  <r>
    <s v="TX500929"/>
    <x v="4"/>
    <x v="9"/>
    <n v="22.5"/>
    <x v="158"/>
    <x v="36"/>
    <d v="2025-02-08T00:00:00"/>
    <x v="2"/>
    <x v="4"/>
    <x v="2"/>
    <x v="0"/>
    <x v="3"/>
    <x v="1"/>
    <x v="5"/>
    <x v="2"/>
  </r>
  <r>
    <s v="TX500930"/>
    <x v="17"/>
    <x v="9"/>
    <n v="21.6"/>
    <x v="807"/>
    <x v="36"/>
    <d v="2025-02-14T00:00:00"/>
    <x v="2"/>
    <x v="0"/>
    <x v="1"/>
    <x v="0"/>
    <x v="3"/>
    <x v="9"/>
    <x v="5"/>
    <x v="2"/>
  </r>
  <r>
    <s v="TX500931"/>
    <x v="10"/>
    <x v="3"/>
    <n v="26.3"/>
    <x v="808"/>
    <x v="36"/>
    <d v="2025-02-06T00:00:00"/>
    <x v="2"/>
    <x v="2"/>
    <x v="1"/>
    <x v="0"/>
    <x v="3"/>
    <x v="7"/>
    <x v="5"/>
    <x v="2"/>
  </r>
  <r>
    <s v="TX500932"/>
    <x v="6"/>
    <x v="3"/>
    <n v="103"/>
    <x v="809"/>
    <x v="37"/>
    <d v="2025-02-08T00:00:00"/>
    <x v="1"/>
    <x v="0"/>
    <x v="2"/>
    <x v="0"/>
    <x v="6"/>
    <x v="3"/>
    <x v="5"/>
    <x v="1"/>
  </r>
  <r>
    <s v="TX500933"/>
    <x v="5"/>
    <x v="20"/>
    <n v="46.6"/>
    <x v="810"/>
    <x v="37"/>
    <d v="2025-02-08T00:00:00"/>
    <x v="2"/>
    <x v="0"/>
    <x v="1"/>
    <x v="0"/>
    <x v="6"/>
    <x v="3"/>
    <x v="5"/>
    <x v="2"/>
  </r>
  <r>
    <s v="TX500934"/>
    <x v="0"/>
    <x v="9"/>
    <n v="32.200000000000003"/>
    <x v="811"/>
    <x v="37"/>
    <d v="2025-02-10T00:00:00"/>
    <x v="2"/>
    <x v="0"/>
    <x v="2"/>
    <x v="0"/>
    <x v="36"/>
    <x v="2"/>
    <x v="5"/>
    <x v="2"/>
  </r>
  <r>
    <s v="TX500935"/>
    <x v="8"/>
    <x v="2"/>
    <n v="22"/>
    <x v="812"/>
    <x v="37"/>
    <d v="2025-02-14T00:00:00"/>
    <x v="1"/>
    <x v="1"/>
    <x v="0"/>
    <x v="0"/>
    <x v="7"/>
    <x v="6"/>
    <x v="5"/>
    <x v="1"/>
  </r>
  <r>
    <s v="TX500936"/>
    <x v="0"/>
    <x v="1"/>
    <n v="25.2"/>
    <x v="813"/>
    <x v="37"/>
    <d v="2025-02-11T00:00:00"/>
    <x v="2"/>
    <x v="0"/>
    <x v="0"/>
    <x v="0"/>
    <x v="7"/>
    <x v="5"/>
    <x v="5"/>
    <x v="2"/>
  </r>
  <r>
    <s v="TX500937"/>
    <x v="1"/>
    <x v="13"/>
    <n v="68.7"/>
    <x v="814"/>
    <x v="37"/>
    <d v="2025-02-09T00:00:00"/>
    <x v="1"/>
    <x v="4"/>
    <x v="0"/>
    <x v="0"/>
    <x v="8"/>
    <x v="1"/>
    <x v="5"/>
    <x v="1"/>
  </r>
  <r>
    <s v="TX500938"/>
    <x v="0"/>
    <x v="2"/>
    <n v="22.2"/>
    <x v="815"/>
    <x v="37"/>
    <d v="2025-02-10T00:00:00"/>
    <x v="1"/>
    <x v="2"/>
    <x v="2"/>
    <x v="0"/>
    <x v="8"/>
    <x v="2"/>
    <x v="5"/>
    <x v="1"/>
  </r>
  <r>
    <s v="TX500939"/>
    <x v="1"/>
    <x v="3"/>
    <n v="36"/>
    <x v="816"/>
    <x v="37"/>
    <d v="2025-02-08T00:00:00"/>
    <x v="2"/>
    <x v="1"/>
    <x v="0"/>
    <x v="0"/>
    <x v="8"/>
    <x v="3"/>
    <x v="5"/>
    <x v="2"/>
  </r>
  <r>
    <s v="TX500940"/>
    <x v="18"/>
    <x v="0"/>
    <n v="50.6"/>
    <x v="578"/>
    <x v="37"/>
    <d v="2025-02-09T00:00:00"/>
    <x v="2"/>
    <x v="0"/>
    <x v="1"/>
    <x v="0"/>
    <x v="8"/>
    <x v="1"/>
    <x v="5"/>
    <x v="2"/>
  </r>
  <r>
    <s v="TX500941"/>
    <x v="15"/>
    <x v="1"/>
    <n v="44.9"/>
    <x v="817"/>
    <x v="37"/>
    <d v="2025-02-09T00:00:00"/>
    <x v="1"/>
    <x v="0"/>
    <x v="1"/>
    <x v="0"/>
    <x v="8"/>
    <x v="1"/>
    <x v="5"/>
    <x v="1"/>
  </r>
  <r>
    <s v="TX500942"/>
    <x v="6"/>
    <x v="2"/>
    <n v="71.599999999999994"/>
    <x v="818"/>
    <x v="37"/>
    <d v="2025-02-11T00:00:00"/>
    <x v="1"/>
    <x v="1"/>
    <x v="2"/>
    <x v="0"/>
    <x v="10"/>
    <x v="5"/>
    <x v="5"/>
    <x v="1"/>
  </r>
  <r>
    <s v="TX500943"/>
    <x v="6"/>
    <x v="13"/>
    <n v="51.5"/>
    <x v="15"/>
    <x v="37"/>
    <d v="2025-02-09T00:00:00"/>
    <x v="0"/>
    <x v="4"/>
    <x v="0"/>
    <x v="0"/>
    <x v="11"/>
    <x v="1"/>
    <x v="5"/>
    <x v="0"/>
  </r>
  <r>
    <s v="TX500944"/>
    <x v="7"/>
    <x v="9"/>
    <n v="55.5"/>
    <x v="819"/>
    <x v="37"/>
    <d v="2025-02-08T00:00:00"/>
    <x v="1"/>
    <x v="1"/>
    <x v="1"/>
    <x v="0"/>
    <x v="11"/>
    <x v="3"/>
    <x v="5"/>
    <x v="1"/>
  </r>
  <r>
    <s v="TX500945"/>
    <x v="6"/>
    <x v="0"/>
    <n v="51.7"/>
    <x v="733"/>
    <x v="37"/>
    <d v="2025-02-21T00:00:00"/>
    <x v="1"/>
    <x v="2"/>
    <x v="0"/>
    <x v="0"/>
    <x v="19"/>
    <x v="12"/>
    <x v="5"/>
    <x v="1"/>
  </r>
  <r>
    <s v="TX500946"/>
    <x v="8"/>
    <x v="38"/>
    <n v="45.5"/>
    <x v="820"/>
    <x v="37"/>
    <d v="2025-02-08T00:00:00"/>
    <x v="2"/>
    <x v="3"/>
    <x v="2"/>
    <x v="0"/>
    <x v="19"/>
    <x v="3"/>
    <x v="5"/>
    <x v="2"/>
  </r>
  <r>
    <s v="TX500947"/>
    <x v="8"/>
    <x v="1"/>
    <n v="33.799999999999997"/>
    <x v="821"/>
    <x v="37"/>
    <d v="2025-02-13T00:00:00"/>
    <x v="2"/>
    <x v="3"/>
    <x v="0"/>
    <x v="0"/>
    <x v="20"/>
    <x v="4"/>
    <x v="5"/>
    <x v="2"/>
  </r>
  <r>
    <s v="TX500948"/>
    <x v="3"/>
    <x v="2"/>
    <n v="76.5"/>
    <x v="822"/>
    <x v="37"/>
    <d v="2025-02-08T00:00:00"/>
    <x v="2"/>
    <x v="0"/>
    <x v="1"/>
    <x v="0"/>
    <x v="21"/>
    <x v="3"/>
    <x v="5"/>
    <x v="2"/>
  </r>
  <r>
    <s v="TX500949"/>
    <x v="9"/>
    <x v="2"/>
    <n v="42.6"/>
    <x v="823"/>
    <x v="37"/>
    <d v="2025-02-13T00:00:00"/>
    <x v="2"/>
    <x v="2"/>
    <x v="2"/>
    <x v="0"/>
    <x v="2"/>
    <x v="4"/>
    <x v="5"/>
    <x v="2"/>
  </r>
  <r>
    <s v="TX500950"/>
    <x v="6"/>
    <x v="2"/>
    <n v="44.1"/>
    <x v="431"/>
    <x v="37"/>
    <d v="2025-02-09T00:00:00"/>
    <x v="2"/>
    <x v="1"/>
    <x v="1"/>
    <x v="0"/>
    <x v="22"/>
    <x v="1"/>
    <x v="5"/>
    <x v="2"/>
  </r>
  <r>
    <s v="TX500951"/>
    <x v="8"/>
    <x v="1"/>
    <n v="40.9"/>
    <x v="673"/>
    <x v="37"/>
    <d v="2025-02-11T00:00:00"/>
    <x v="1"/>
    <x v="0"/>
    <x v="0"/>
    <x v="0"/>
    <x v="3"/>
    <x v="5"/>
    <x v="5"/>
    <x v="1"/>
  </r>
  <r>
    <s v="TX500952"/>
    <x v="9"/>
    <x v="2"/>
    <n v="49.1"/>
    <x v="824"/>
    <x v="37"/>
    <d v="2025-02-11T00:00:00"/>
    <x v="2"/>
    <x v="3"/>
    <x v="1"/>
    <x v="0"/>
    <x v="3"/>
    <x v="5"/>
    <x v="5"/>
    <x v="2"/>
  </r>
  <r>
    <s v="TX500953"/>
    <x v="18"/>
    <x v="0"/>
    <n v="85.3"/>
    <x v="825"/>
    <x v="37"/>
    <d v="2025-02-11T00:00:00"/>
    <x v="1"/>
    <x v="1"/>
    <x v="1"/>
    <x v="0"/>
    <x v="3"/>
    <x v="5"/>
    <x v="5"/>
    <x v="1"/>
  </r>
  <r>
    <s v="TX500954"/>
    <x v="6"/>
    <x v="12"/>
    <n v="43.1"/>
    <x v="826"/>
    <x v="38"/>
    <d v="2025-02-11T00:00:00"/>
    <x v="1"/>
    <x v="0"/>
    <x v="0"/>
    <x v="0"/>
    <x v="3"/>
    <x v="2"/>
    <x v="5"/>
    <x v="1"/>
  </r>
  <r>
    <s v="TX500955"/>
    <x v="4"/>
    <x v="12"/>
    <n v="46.2"/>
    <x v="827"/>
    <x v="38"/>
    <d v="2025-02-09T00:00:00"/>
    <x v="1"/>
    <x v="2"/>
    <x v="0"/>
    <x v="0"/>
    <x v="3"/>
    <x v="3"/>
    <x v="5"/>
    <x v="1"/>
  </r>
  <r>
    <s v="TX500956"/>
    <x v="1"/>
    <x v="0"/>
    <n v="74.400000000000006"/>
    <x v="610"/>
    <x v="38"/>
    <d v="2025-02-10T00:00:00"/>
    <x v="1"/>
    <x v="4"/>
    <x v="2"/>
    <x v="0"/>
    <x v="3"/>
    <x v="1"/>
    <x v="5"/>
    <x v="1"/>
  </r>
  <r>
    <s v="TX500957"/>
    <x v="17"/>
    <x v="1"/>
    <n v="51.2"/>
    <x v="298"/>
    <x v="38"/>
    <d v="2025-02-09T00:00:00"/>
    <x v="1"/>
    <x v="1"/>
    <x v="0"/>
    <x v="0"/>
    <x v="3"/>
    <x v="3"/>
    <x v="5"/>
    <x v="1"/>
  </r>
  <r>
    <s v="TX500958"/>
    <x v="14"/>
    <x v="12"/>
    <n v="11.8"/>
    <x v="828"/>
    <x v="38"/>
    <d v="2025-02-08T00:00:00"/>
    <x v="1"/>
    <x v="2"/>
    <x v="0"/>
    <x v="0"/>
    <x v="3"/>
    <x v="7"/>
    <x v="5"/>
    <x v="1"/>
  </r>
  <r>
    <s v="TX500959"/>
    <x v="10"/>
    <x v="6"/>
    <n v="40.799999999999997"/>
    <x v="829"/>
    <x v="38"/>
    <d v="2025-02-09T00:00:00"/>
    <x v="2"/>
    <x v="3"/>
    <x v="2"/>
    <x v="0"/>
    <x v="3"/>
    <x v="3"/>
    <x v="5"/>
    <x v="2"/>
  </r>
  <r>
    <s v="TX500960"/>
    <x v="8"/>
    <x v="0"/>
    <n v="24.7"/>
    <x v="830"/>
    <x v="38"/>
    <d v="2025-02-10T00:00:00"/>
    <x v="2"/>
    <x v="2"/>
    <x v="1"/>
    <x v="0"/>
    <x v="3"/>
    <x v="1"/>
    <x v="5"/>
    <x v="2"/>
  </r>
  <r>
    <s v="TX500961"/>
    <x v="8"/>
    <x v="3"/>
    <n v="22.1"/>
    <x v="831"/>
    <x v="38"/>
    <d v="2025-02-08T00:00:00"/>
    <x v="2"/>
    <x v="2"/>
    <x v="4"/>
    <x v="0"/>
    <x v="3"/>
    <x v="7"/>
    <x v="5"/>
    <x v="2"/>
  </r>
  <r>
    <s v="TX500962"/>
    <x v="8"/>
    <x v="0"/>
    <n v="18.100000000000001"/>
    <x v="832"/>
    <x v="38"/>
    <d v="2025-02-12T00:00:00"/>
    <x v="1"/>
    <x v="3"/>
    <x v="2"/>
    <x v="0"/>
    <x v="3"/>
    <x v="5"/>
    <x v="5"/>
    <x v="1"/>
  </r>
  <r>
    <s v="TX500963"/>
    <x v="17"/>
    <x v="1"/>
    <n v="58.8"/>
    <x v="833"/>
    <x v="38"/>
    <d v="2025-02-11T00:00:00"/>
    <x v="2"/>
    <x v="0"/>
    <x v="0"/>
    <x v="0"/>
    <x v="25"/>
    <x v="2"/>
    <x v="5"/>
    <x v="2"/>
  </r>
  <r>
    <s v="TX500964"/>
    <x v="18"/>
    <x v="1"/>
    <n v="30.8"/>
    <x v="834"/>
    <x v="38"/>
    <d v="2025-02-09T00:00:00"/>
    <x v="2"/>
    <x v="0"/>
    <x v="0"/>
    <x v="0"/>
    <x v="6"/>
    <x v="3"/>
    <x v="5"/>
    <x v="2"/>
  </r>
  <r>
    <s v="TX500965"/>
    <x v="0"/>
    <x v="1"/>
    <n v="12"/>
    <x v="835"/>
    <x v="38"/>
    <d v="2025-02-12T00:00:00"/>
    <x v="2"/>
    <x v="0"/>
    <x v="0"/>
    <x v="0"/>
    <x v="6"/>
    <x v="5"/>
    <x v="5"/>
    <x v="2"/>
  </r>
  <r>
    <s v="TX500966"/>
    <x v="0"/>
    <x v="12"/>
    <n v="13.6"/>
    <x v="630"/>
    <x v="38"/>
    <d v="2025-02-11T00:00:00"/>
    <x v="1"/>
    <x v="2"/>
    <x v="0"/>
    <x v="0"/>
    <x v="6"/>
    <x v="2"/>
    <x v="5"/>
    <x v="1"/>
  </r>
  <r>
    <s v="TX500967"/>
    <x v="0"/>
    <x v="0"/>
    <n v="17.899999999999999"/>
    <x v="836"/>
    <x v="38"/>
    <d v="2025-02-09T00:00:00"/>
    <x v="1"/>
    <x v="3"/>
    <x v="0"/>
    <x v="0"/>
    <x v="6"/>
    <x v="3"/>
    <x v="5"/>
    <x v="1"/>
  </r>
  <r>
    <s v="TX500968"/>
    <x v="9"/>
    <x v="1"/>
    <n v="38.6"/>
    <x v="837"/>
    <x v="38"/>
    <d v="2025-02-12T00:00:00"/>
    <x v="2"/>
    <x v="4"/>
    <x v="0"/>
    <x v="0"/>
    <x v="7"/>
    <x v="5"/>
    <x v="5"/>
    <x v="2"/>
  </r>
  <r>
    <s v="TX500969"/>
    <x v="5"/>
    <x v="9"/>
    <n v="32.700000000000003"/>
    <x v="838"/>
    <x v="38"/>
    <d v="2025-02-09T00:00:00"/>
    <x v="1"/>
    <x v="2"/>
    <x v="2"/>
    <x v="0"/>
    <x v="8"/>
    <x v="3"/>
    <x v="5"/>
    <x v="1"/>
  </r>
  <r>
    <s v="TX500970"/>
    <x v="3"/>
    <x v="1"/>
    <n v="111.4"/>
    <x v="839"/>
    <x v="38"/>
    <d v="2025-02-09T00:00:00"/>
    <x v="2"/>
    <x v="1"/>
    <x v="0"/>
    <x v="0"/>
    <x v="8"/>
    <x v="3"/>
    <x v="5"/>
    <x v="2"/>
  </r>
  <r>
    <s v="TX500971"/>
    <x v="2"/>
    <x v="13"/>
    <n v="80.3"/>
    <x v="840"/>
    <x v="38"/>
    <d v="2025-02-10T00:00:00"/>
    <x v="2"/>
    <x v="1"/>
    <x v="0"/>
    <x v="0"/>
    <x v="8"/>
    <x v="1"/>
    <x v="5"/>
    <x v="2"/>
  </r>
  <r>
    <s v="TX500972"/>
    <x v="6"/>
    <x v="1"/>
    <n v="58.9"/>
    <x v="841"/>
    <x v="38"/>
    <d v="2025-02-09T00:00:00"/>
    <x v="1"/>
    <x v="1"/>
    <x v="0"/>
    <x v="0"/>
    <x v="8"/>
    <x v="3"/>
    <x v="5"/>
    <x v="1"/>
  </r>
  <r>
    <s v="TX500973"/>
    <x v="6"/>
    <x v="2"/>
    <n v="51.9"/>
    <x v="515"/>
    <x v="38"/>
    <d v="2025-02-10T00:00:00"/>
    <x v="2"/>
    <x v="1"/>
    <x v="4"/>
    <x v="0"/>
    <x v="8"/>
    <x v="1"/>
    <x v="5"/>
    <x v="2"/>
  </r>
  <r>
    <s v="TX500974"/>
    <x v="2"/>
    <x v="2"/>
    <n v="50.3"/>
    <x v="842"/>
    <x v="38"/>
    <d v="2025-02-09T00:00:00"/>
    <x v="1"/>
    <x v="2"/>
    <x v="0"/>
    <x v="0"/>
    <x v="17"/>
    <x v="3"/>
    <x v="5"/>
    <x v="1"/>
  </r>
  <r>
    <s v="TX500975"/>
    <x v="11"/>
    <x v="13"/>
    <n v="45"/>
    <x v="843"/>
    <x v="38"/>
    <d v="2025-02-14T00:00:00"/>
    <x v="2"/>
    <x v="3"/>
    <x v="0"/>
    <x v="0"/>
    <x v="9"/>
    <x v="4"/>
    <x v="5"/>
    <x v="2"/>
  </r>
  <r>
    <s v="TX500976"/>
    <x v="10"/>
    <x v="13"/>
    <n v="44.7"/>
    <x v="844"/>
    <x v="38"/>
    <d v="2025-02-10T00:00:00"/>
    <x v="2"/>
    <x v="2"/>
    <x v="0"/>
    <x v="0"/>
    <x v="11"/>
    <x v="1"/>
    <x v="5"/>
    <x v="2"/>
  </r>
  <r>
    <s v="TX500977"/>
    <x v="18"/>
    <x v="20"/>
    <n v="33"/>
    <x v="845"/>
    <x v="38"/>
    <d v="2025-02-09T00:00:00"/>
    <x v="2"/>
    <x v="2"/>
    <x v="0"/>
    <x v="0"/>
    <x v="11"/>
    <x v="3"/>
    <x v="5"/>
    <x v="2"/>
  </r>
  <r>
    <s v="TX500978"/>
    <x v="1"/>
    <x v="9"/>
    <n v="44.9"/>
    <x v="846"/>
    <x v="38"/>
    <d v="2025-02-11T00:00:00"/>
    <x v="2"/>
    <x v="2"/>
    <x v="2"/>
    <x v="0"/>
    <x v="18"/>
    <x v="2"/>
    <x v="5"/>
    <x v="2"/>
  </r>
  <r>
    <s v="TX500979"/>
    <x v="10"/>
    <x v="1"/>
    <n v="34.6"/>
    <x v="564"/>
    <x v="38"/>
    <d v="2025-02-12T00:00:00"/>
    <x v="2"/>
    <x v="0"/>
    <x v="1"/>
    <x v="0"/>
    <x v="19"/>
    <x v="5"/>
    <x v="5"/>
    <x v="2"/>
  </r>
  <r>
    <s v="TX500980"/>
    <x v="7"/>
    <x v="3"/>
    <n v="47.1"/>
    <x v="847"/>
    <x v="38"/>
    <d v="2025-02-13T00:00:00"/>
    <x v="2"/>
    <x v="0"/>
    <x v="0"/>
    <x v="0"/>
    <x v="13"/>
    <x v="0"/>
    <x v="5"/>
    <x v="2"/>
  </r>
  <r>
    <s v="TX500981"/>
    <x v="4"/>
    <x v="9"/>
    <n v="26.1"/>
    <x v="848"/>
    <x v="38"/>
    <d v="2025-02-13T00:00:00"/>
    <x v="1"/>
    <x v="0"/>
    <x v="2"/>
    <x v="0"/>
    <x v="21"/>
    <x v="0"/>
    <x v="5"/>
    <x v="1"/>
  </r>
  <r>
    <s v="TX500982"/>
    <x v="12"/>
    <x v="9"/>
    <n v="66.8"/>
    <x v="849"/>
    <x v="38"/>
    <d v="2025-02-11T00:00:00"/>
    <x v="2"/>
    <x v="0"/>
    <x v="0"/>
    <x v="0"/>
    <x v="21"/>
    <x v="2"/>
    <x v="5"/>
    <x v="2"/>
  </r>
  <r>
    <s v="TX500983"/>
    <x v="2"/>
    <x v="1"/>
    <n v="167.9"/>
    <x v="850"/>
    <x v="38"/>
    <d v="2025-02-09T00:00:00"/>
    <x v="2"/>
    <x v="3"/>
    <x v="2"/>
    <x v="0"/>
    <x v="21"/>
    <x v="3"/>
    <x v="5"/>
    <x v="2"/>
  </r>
  <r>
    <s v="TX500984"/>
    <x v="10"/>
    <x v="11"/>
    <n v="34.6"/>
    <x v="851"/>
    <x v="38"/>
    <d v="2025-02-09T00:00:00"/>
    <x v="2"/>
    <x v="2"/>
    <x v="1"/>
    <x v="0"/>
    <x v="21"/>
    <x v="3"/>
    <x v="5"/>
    <x v="2"/>
  </r>
  <r>
    <s v="TX500985"/>
    <x v="8"/>
    <x v="2"/>
    <n v="35.1"/>
    <x v="852"/>
    <x v="39"/>
    <d v="2025-02-13T00:00:00"/>
    <x v="1"/>
    <x v="4"/>
    <x v="2"/>
    <x v="0"/>
    <x v="1"/>
    <x v="5"/>
    <x v="6"/>
    <x v="1"/>
  </r>
  <r>
    <s v="TX500986"/>
    <x v="6"/>
    <x v="12"/>
    <n v="104.5"/>
    <x v="378"/>
    <x v="39"/>
    <d v="2025-02-10T00:00:00"/>
    <x v="1"/>
    <x v="1"/>
    <x v="1"/>
    <x v="0"/>
    <x v="1"/>
    <x v="3"/>
    <x v="6"/>
    <x v="1"/>
  </r>
  <r>
    <s v="TX500987"/>
    <x v="8"/>
    <x v="0"/>
    <n v="37.9"/>
    <x v="853"/>
    <x v="39"/>
    <d v="2025-02-11T00:00:00"/>
    <x v="0"/>
    <x v="1"/>
    <x v="2"/>
    <x v="0"/>
    <x v="2"/>
    <x v="1"/>
    <x v="6"/>
    <x v="0"/>
  </r>
  <r>
    <s v="TX500988"/>
    <x v="4"/>
    <x v="2"/>
    <n v="25.5"/>
    <x v="514"/>
    <x v="39"/>
    <d v="2025-02-12T00:00:00"/>
    <x v="1"/>
    <x v="3"/>
    <x v="0"/>
    <x v="0"/>
    <x v="2"/>
    <x v="2"/>
    <x v="6"/>
    <x v="1"/>
  </r>
  <r>
    <s v="TX500989"/>
    <x v="0"/>
    <x v="2"/>
    <n v="32"/>
    <x v="854"/>
    <x v="39"/>
    <d v="2025-02-13T00:00:00"/>
    <x v="2"/>
    <x v="1"/>
    <x v="0"/>
    <x v="0"/>
    <x v="22"/>
    <x v="5"/>
    <x v="6"/>
    <x v="2"/>
  </r>
  <r>
    <s v="TX500990"/>
    <x v="1"/>
    <x v="0"/>
    <n v="47.1"/>
    <x v="392"/>
    <x v="39"/>
    <d v="2025-02-10T00:00:00"/>
    <x v="2"/>
    <x v="0"/>
    <x v="0"/>
    <x v="0"/>
    <x v="34"/>
    <x v="3"/>
    <x v="6"/>
    <x v="2"/>
  </r>
  <r>
    <s v="TX500991"/>
    <x v="6"/>
    <x v="1"/>
    <n v="50.6"/>
    <x v="855"/>
    <x v="39"/>
    <d v="2025-02-15T00:00:00"/>
    <x v="0"/>
    <x v="0"/>
    <x v="0"/>
    <x v="0"/>
    <x v="3"/>
    <x v="4"/>
    <x v="6"/>
    <x v="0"/>
  </r>
  <r>
    <s v="TX500992"/>
    <x v="6"/>
    <x v="9"/>
    <n v="81.7"/>
    <x v="856"/>
    <x v="39"/>
    <d v="2025-02-10T00:00:00"/>
    <x v="2"/>
    <x v="1"/>
    <x v="2"/>
    <x v="0"/>
    <x v="3"/>
    <x v="3"/>
    <x v="6"/>
    <x v="2"/>
  </r>
  <r>
    <s v="TX500993"/>
    <x v="5"/>
    <x v="1"/>
    <n v="50.7"/>
    <x v="857"/>
    <x v="39"/>
    <d v="2025-02-10T00:00:00"/>
    <x v="3"/>
    <x v="2"/>
    <x v="2"/>
    <x v="0"/>
    <x v="3"/>
    <x v="3"/>
    <x v="6"/>
    <x v="3"/>
  </r>
  <r>
    <s v="TX500994"/>
    <x v="2"/>
    <x v="10"/>
    <n v="67.3"/>
    <x v="858"/>
    <x v="39"/>
    <d v="2025-02-13T00:00:00"/>
    <x v="2"/>
    <x v="2"/>
    <x v="0"/>
    <x v="0"/>
    <x v="3"/>
    <x v="5"/>
    <x v="6"/>
    <x v="2"/>
  </r>
  <r>
    <s v="TX500995"/>
    <x v="2"/>
    <x v="12"/>
    <n v="64.8"/>
    <x v="629"/>
    <x v="39"/>
    <d v="2025-02-12T00:00:00"/>
    <x v="2"/>
    <x v="3"/>
    <x v="0"/>
    <x v="0"/>
    <x v="3"/>
    <x v="2"/>
    <x v="6"/>
    <x v="2"/>
  </r>
  <r>
    <s v="TX500996"/>
    <x v="5"/>
    <x v="32"/>
    <n v="61.3"/>
    <x v="859"/>
    <x v="39"/>
    <d v="2025-02-10T00:00:00"/>
    <x v="2"/>
    <x v="0"/>
    <x v="2"/>
    <x v="0"/>
    <x v="3"/>
    <x v="3"/>
    <x v="6"/>
    <x v="2"/>
  </r>
  <r>
    <s v="TX500997"/>
    <x v="14"/>
    <x v="0"/>
    <n v="32.9"/>
    <x v="860"/>
    <x v="39"/>
    <d v="2025-02-12T00:00:00"/>
    <x v="2"/>
    <x v="4"/>
    <x v="0"/>
    <x v="0"/>
    <x v="3"/>
    <x v="2"/>
    <x v="6"/>
    <x v="2"/>
  </r>
  <r>
    <s v="TX500998"/>
    <x v="6"/>
    <x v="1"/>
    <n v="100.8"/>
    <x v="861"/>
    <x v="39"/>
    <d v="2025-02-12T00:00:00"/>
    <x v="2"/>
    <x v="0"/>
    <x v="0"/>
    <x v="0"/>
    <x v="3"/>
    <x v="2"/>
    <x v="6"/>
    <x v="2"/>
  </r>
  <r>
    <s v="TX500999"/>
    <x v="8"/>
    <x v="12"/>
    <n v="25.1"/>
    <x v="862"/>
    <x v="39"/>
    <d v="2025-02-11T00:00:00"/>
    <x v="2"/>
    <x v="1"/>
    <x v="0"/>
    <x v="0"/>
    <x v="3"/>
    <x v="1"/>
    <x v="6"/>
    <x v="2"/>
  </r>
  <r>
    <s v="TX501000"/>
    <x v="17"/>
    <x v="0"/>
    <n v="48.5"/>
    <x v="319"/>
    <x v="39"/>
    <d v="2025-02-10T00:00:00"/>
    <x v="2"/>
    <x v="0"/>
    <x v="1"/>
    <x v="0"/>
    <x v="3"/>
    <x v="3"/>
    <x v="6"/>
    <x v="2"/>
  </r>
  <r>
    <s v="TX501001"/>
    <x v="7"/>
    <x v="1"/>
    <n v="33.6"/>
    <x v="863"/>
    <x v="39"/>
    <d v="2025-02-13T00:00:00"/>
    <x v="2"/>
    <x v="2"/>
    <x v="2"/>
    <x v="0"/>
    <x v="3"/>
    <x v="5"/>
    <x v="6"/>
    <x v="2"/>
  </r>
  <r>
    <s v="TX501002"/>
    <x v="8"/>
    <x v="0"/>
    <n v="39.299999999999997"/>
    <x v="864"/>
    <x v="39"/>
    <d v="2025-02-20T00:00:00"/>
    <x v="2"/>
    <x v="1"/>
    <x v="1"/>
    <x v="0"/>
    <x v="49"/>
    <x v="11"/>
    <x v="6"/>
    <x v="2"/>
  </r>
  <r>
    <s v="TX501003"/>
    <x v="4"/>
    <x v="7"/>
    <n v="48.8"/>
    <x v="865"/>
    <x v="39"/>
    <d v="2025-02-11T00:00:00"/>
    <x v="2"/>
    <x v="3"/>
    <x v="1"/>
    <x v="0"/>
    <x v="25"/>
    <x v="1"/>
    <x v="6"/>
    <x v="2"/>
  </r>
  <r>
    <s v="TX501004"/>
    <x v="6"/>
    <x v="8"/>
    <n v="72.8"/>
    <x v="866"/>
    <x v="39"/>
    <d v="2025-02-11T00:00:00"/>
    <x v="1"/>
    <x v="1"/>
    <x v="2"/>
    <x v="0"/>
    <x v="5"/>
    <x v="1"/>
    <x v="6"/>
    <x v="1"/>
  </r>
  <r>
    <s v="TX501005"/>
    <x v="10"/>
    <x v="8"/>
    <n v="46.2"/>
    <x v="867"/>
    <x v="39"/>
    <d v="2025-02-10T00:00:00"/>
    <x v="1"/>
    <x v="3"/>
    <x v="4"/>
    <x v="0"/>
    <x v="5"/>
    <x v="3"/>
    <x v="6"/>
    <x v="1"/>
  </r>
  <r>
    <s v="TX501006"/>
    <x v="4"/>
    <x v="1"/>
    <n v="20.7"/>
    <x v="50"/>
    <x v="39"/>
    <d v="2025-02-10T00:00:00"/>
    <x v="2"/>
    <x v="2"/>
    <x v="3"/>
    <x v="0"/>
    <x v="6"/>
    <x v="3"/>
    <x v="6"/>
    <x v="2"/>
  </r>
  <r>
    <s v="TX501007"/>
    <x v="0"/>
    <x v="0"/>
    <n v="35.700000000000003"/>
    <x v="519"/>
    <x v="39"/>
    <d v="2025-02-11T00:00:00"/>
    <x v="2"/>
    <x v="3"/>
    <x v="0"/>
    <x v="0"/>
    <x v="6"/>
    <x v="1"/>
    <x v="6"/>
    <x v="2"/>
  </r>
  <r>
    <s v="TX501008"/>
    <x v="2"/>
    <x v="27"/>
    <n v="166.2"/>
    <x v="868"/>
    <x v="39"/>
    <d v="2025-02-11T00:00:00"/>
    <x v="0"/>
    <x v="2"/>
    <x v="0"/>
    <x v="0"/>
    <x v="7"/>
    <x v="1"/>
    <x v="6"/>
    <x v="0"/>
  </r>
  <r>
    <s v="TX501009"/>
    <x v="6"/>
    <x v="12"/>
    <n v="85.8"/>
    <x v="869"/>
    <x v="39"/>
    <d v="2025-02-10T00:00:00"/>
    <x v="2"/>
    <x v="1"/>
    <x v="1"/>
    <x v="0"/>
    <x v="7"/>
    <x v="3"/>
    <x v="6"/>
    <x v="2"/>
  </r>
  <r>
    <s v="TX501010"/>
    <x v="8"/>
    <x v="2"/>
    <n v="26"/>
    <x v="292"/>
    <x v="39"/>
    <d v="2025-02-11T00:00:00"/>
    <x v="3"/>
    <x v="1"/>
    <x v="0"/>
    <x v="0"/>
    <x v="7"/>
    <x v="1"/>
    <x v="6"/>
    <x v="3"/>
  </r>
  <r>
    <s v="TX501011"/>
    <x v="2"/>
    <x v="15"/>
    <n v="116.6"/>
    <x v="870"/>
    <x v="39"/>
    <d v="2025-02-12T00:00:00"/>
    <x v="2"/>
    <x v="0"/>
    <x v="0"/>
    <x v="0"/>
    <x v="8"/>
    <x v="2"/>
    <x v="6"/>
    <x v="2"/>
  </r>
  <r>
    <s v="TX501012"/>
    <x v="9"/>
    <x v="3"/>
    <n v="53.9"/>
    <x v="871"/>
    <x v="39"/>
    <d v="2025-02-12T00:00:00"/>
    <x v="3"/>
    <x v="0"/>
    <x v="2"/>
    <x v="0"/>
    <x v="8"/>
    <x v="2"/>
    <x v="6"/>
    <x v="3"/>
  </r>
  <r>
    <s v="TX501013"/>
    <x v="12"/>
    <x v="9"/>
    <n v="72.3"/>
    <x v="785"/>
    <x v="39"/>
    <d v="2025-02-11T00:00:00"/>
    <x v="0"/>
    <x v="2"/>
    <x v="2"/>
    <x v="0"/>
    <x v="8"/>
    <x v="1"/>
    <x v="6"/>
    <x v="0"/>
  </r>
  <r>
    <s v="TX501014"/>
    <x v="5"/>
    <x v="1"/>
    <n v="31.4"/>
    <x v="143"/>
    <x v="39"/>
    <d v="2025-02-11T00:00:00"/>
    <x v="2"/>
    <x v="0"/>
    <x v="0"/>
    <x v="0"/>
    <x v="8"/>
    <x v="1"/>
    <x v="6"/>
    <x v="2"/>
  </r>
  <r>
    <s v="TX501015"/>
    <x v="13"/>
    <x v="1"/>
    <n v="53.1"/>
    <x v="872"/>
    <x v="39"/>
    <d v="2025-02-12T00:00:00"/>
    <x v="1"/>
    <x v="1"/>
    <x v="0"/>
    <x v="0"/>
    <x v="8"/>
    <x v="2"/>
    <x v="6"/>
    <x v="1"/>
  </r>
  <r>
    <s v="TX501016"/>
    <x v="2"/>
    <x v="12"/>
    <n v="56.2"/>
    <x v="873"/>
    <x v="39"/>
    <d v="2025-02-10T00:00:00"/>
    <x v="2"/>
    <x v="0"/>
    <x v="0"/>
    <x v="0"/>
    <x v="8"/>
    <x v="3"/>
    <x v="6"/>
    <x v="2"/>
  </r>
  <r>
    <s v="TX501017"/>
    <x v="1"/>
    <x v="7"/>
    <n v="77.3"/>
    <x v="874"/>
    <x v="39"/>
    <d v="2025-02-10T00:00:00"/>
    <x v="2"/>
    <x v="2"/>
    <x v="0"/>
    <x v="0"/>
    <x v="11"/>
    <x v="3"/>
    <x v="6"/>
    <x v="2"/>
  </r>
  <r>
    <s v="TX501018"/>
    <x v="6"/>
    <x v="15"/>
    <n v="57.8"/>
    <x v="875"/>
    <x v="39"/>
    <d v="2025-02-10T00:00:00"/>
    <x v="0"/>
    <x v="0"/>
    <x v="0"/>
    <x v="0"/>
    <x v="53"/>
    <x v="3"/>
    <x v="6"/>
    <x v="0"/>
  </r>
  <r>
    <s v="TX501019"/>
    <x v="12"/>
    <x v="20"/>
    <n v="42.1"/>
    <x v="876"/>
    <x v="39"/>
    <d v="2025-02-11T00:00:00"/>
    <x v="2"/>
    <x v="1"/>
    <x v="1"/>
    <x v="0"/>
    <x v="53"/>
    <x v="1"/>
    <x v="6"/>
    <x v="2"/>
  </r>
  <r>
    <s v="TX501020"/>
    <x v="8"/>
    <x v="11"/>
    <n v="22.8"/>
    <x v="877"/>
    <x v="39"/>
    <d v="2025-02-13T00:00:00"/>
    <x v="1"/>
    <x v="2"/>
    <x v="2"/>
    <x v="0"/>
    <x v="19"/>
    <x v="5"/>
    <x v="6"/>
    <x v="1"/>
  </r>
  <r>
    <s v="TX501021"/>
    <x v="2"/>
    <x v="2"/>
    <n v="171.1"/>
    <x v="878"/>
    <x v="40"/>
    <d v="2025-02-17T00:00:00"/>
    <x v="2"/>
    <x v="2"/>
    <x v="1"/>
    <x v="0"/>
    <x v="19"/>
    <x v="6"/>
    <x v="6"/>
    <x v="2"/>
  </r>
  <r>
    <s v="TX501022"/>
    <x v="8"/>
    <x v="0"/>
    <n v="28"/>
    <x v="879"/>
    <x v="40"/>
    <d v="2025-02-12T00:00:00"/>
    <x v="1"/>
    <x v="2"/>
    <x v="2"/>
    <x v="0"/>
    <x v="21"/>
    <x v="1"/>
    <x v="6"/>
    <x v="1"/>
  </r>
  <r>
    <s v="TX501023"/>
    <x v="6"/>
    <x v="3"/>
    <n v="50.2"/>
    <x v="880"/>
    <x v="40"/>
    <d v="2025-02-12T00:00:00"/>
    <x v="1"/>
    <x v="2"/>
    <x v="0"/>
    <x v="0"/>
    <x v="21"/>
    <x v="1"/>
    <x v="6"/>
    <x v="1"/>
  </r>
  <r>
    <s v="TX501024"/>
    <x v="6"/>
    <x v="1"/>
    <n v="56"/>
    <x v="881"/>
    <x v="40"/>
    <d v="2025-02-10T00:00:00"/>
    <x v="1"/>
    <x v="0"/>
    <x v="2"/>
    <x v="0"/>
    <x v="22"/>
    <x v="7"/>
    <x v="6"/>
    <x v="1"/>
  </r>
  <r>
    <s v="TX501025"/>
    <x v="1"/>
    <x v="1"/>
    <n v="38.299999999999997"/>
    <x v="882"/>
    <x v="40"/>
    <d v="2025-02-11T00:00:00"/>
    <x v="2"/>
    <x v="1"/>
    <x v="0"/>
    <x v="0"/>
    <x v="3"/>
    <x v="3"/>
    <x v="6"/>
    <x v="2"/>
  </r>
  <r>
    <s v="TX501026"/>
    <x v="0"/>
    <x v="9"/>
    <n v="22.3"/>
    <x v="883"/>
    <x v="40"/>
    <d v="2025-02-14T00:00:00"/>
    <x v="2"/>
    <x v="2"/>
    <x v="1"/>
    <x v="0"/>
    <x v="3"/>
    <x v="5"/>
    <x v="6"/>
    <x v="2"/>
  </r>
  <r>
    <s v="TX501027"/>
    <x v="0"/>
    <x v="2"/>
    <n v="22.3"/>
    <x v="884"/>
    <x v="40"/>
    <d v="2025-02-13T00:00:00"/>
    <x v="2"/>
    <x v="2"/>
    <x v="0"/>
    <x v="0"/>
    <x v="3"/>
    <x v="2"/>
    <x v="6"/>
    <x v="2"/>
  </r>
  <r>
    <s v="TX501028"/>
    <x v="1"/>
    <x v="0"/>
    <n v="32.9"/>
    <x v="860"/>
    <x v="40"/>
    <d v="2025-02-15T00:00:00"/>
    <x v="2"/>
    <x v="0"/>
    <x v="0"/>
    <x v="0"/>
    <x v="3"/>
    <x v="0"/>
    <x v="6"/>
    <x v="2"/>
  </r>
  <r>
    <s v="TX501029"/>
    <x v="10"/>
    <x v="2"/>
    <n v="31.9"/>
    <x v="802"/>
    <x v="40"/>
    <d v="2025-02-15T00:00:00"/>
    <x v="2"/>
    <x v="0"/>
    <x v="0"/>
    <x v="0"/>
    <x v="3"/>
    <x v="0"/>
    <x v="6"/>
    <x v="2"/>
  </r>
  <r>
    <s v="TX501030"/>
    <x v="6"/>
    <x v="1"/>
    <n v="94"/>
    <x v="885"/>
    <x v="40"/>
    <d v="2025-02-11T00:00:00"/>
    <x v="1"/>
    <x v="2"/>
    <x v="2"/>
    <x v="0"/>
    <x v="3"/>
    <x v="3"/>
    <x v="6"/>
    <x v="1"/>
  </r>
  <r>
    <s v="TX501031"/>
    <x v="10"/>
    <x v="1"/>
    <n v="30.7"/>
    <x v="886"/>
    <x v="40"/>
    <d v="2025-02-11T00:00:00"/>
    <x v="2"/>
    <x v="0"/>
    <x v="1"/>
    <x v="0"/>
    <x v="3"/>
    <x v="3"/>
    <x v="6"/>
    <x v="2"/>
  </r>
  <r>
    <s v="TX501032"/>
    <x v="5"/>
    <x v="9"/>
    <n v="90.5"/>
    <x v="887"/>
    <x v="40"/>
    <d v="2025-02-17T00:00:00"/>
    <x v="1"/>
    <x v="0"/>
    <x v="2"/>
    <x v="0"/>
    <x v="3"/>
    <x v="6"/>
    <x v="6"/>
    <x v="1"/>
  </r>
  <r>
    <s v="TX501033"/>
    <x v="8"/>
    <x v="9"/>
    <n v="25.3"/>
    <x v="888"/>
    <x v="40"/>
    <d v="2025-02-14T00:00:00"/>
    <x v="2"/>
    <x v="0"/>
    <x v="2"/>
    <x v="0"/>
    <x v="3"/>
    <x v="5"/>
    <x v="6"/>
    <x v="2"/>
  </r>
  <r>
    <s v="TX501034"/>
    <x v="6"/>
    <x v="2"/>
    <n v="58.1"/>
    <x v="889"/>
    <x v="40"/>
    <d v="2025-02-14T00:00:00"/>
    <x v="0"/>
    <x v="0"/>
    <x v="2"/>
    <x v="0"/>
    <x v="3"/>
    <x v="5"/>
    <x v="6"/>
    <x v="0"/>
  </r>
  <r>
    <s v="TX501035"/>
    <x v="2"/>
    <x v="2"/>
    <n v="74.900000000000006"/>
    <x v="890"/>
    <x v="40"/>
    <d v="2025-02-11T00:00:00"/>
    <x v="2"/>
    <x v="4"/>
    <x v="0"/>
    <x v="0"/>
    <x v="3"/>
    <x v="3"/>
    <x v="6"/>
    <x v="2"/>
  </r>
  <r>
    <s v="TX501036"/>
    <x v="4"/>
    <x v="1"/>
    <n v="32.5"/>
    <x v="891"/>
    <x v="40"/>
    <d v="2025-02-11T00:00:00"/>
    <x v="1"/>
    <x v="2"/>
    <x v="2"/>
    <x v="0"/>
    <x v="43"/>
    <x v="3"/>
    <x v="6"/>
    <x v="1"/>
  </r>
  <r>
    <s v="TX501037"/>
    <x v="4"/>
    <x v="9"/>
    <n v="62"/>
    <x v="892"/>
    <x v="40"/>
    <d v="2025-02-11T00:00:00"/>
    <x v="1"/>
    <x v="4"/>
    <x v="2"/>
    <x v="0"/>
    <x v="25"/>
    <x v="3"/>
    <x v="6"/>
    <x v="1"/>
  </r>
  <r>
    <s v="TX501038"/>
    <x v="13"/>
    <x v="13"/>
    <n v="28.9"/>
    <x v="893"/>
    <x v="40"/>
    <d v="2025-02-13T00:00:00"/>
    <x v="2"/>
    <x v="0"/>
    <x v="1"/>
    <x v="0"/>
    <x v="6"/>
    <x v="2"/>
    <x v="6"/>
    <x v="2"/>
  </r>
  <r>
    <s v="TX501039"/>
    <x v="6"/>
    <x v="8"/>
    <n v="42.8"/>
    <x v="894"/>
    <x v="40"/>
    <d v="2025-02-12T00:00:00"/>
    <x v="2"/>
    <x v="0"/>
    <x v="2"/>
    <x v="0"/>
    <x v="6"/>
    <x v="1"/>
    <x v="6"/>
    <x v="2"/>
  </r>
  <r>
    <s v="TX501040"/>
    <x v="8"/>
    <x v="8"/>
    <n v="39.4"/>
    <x v="895"/>
    <x v="40"/>
    <d v="2025-02-12T00:00:00"/>
    <x v="1"/>
    <x v="0"/>
    <x v="0"/>
    <x v="0"/>
    <x v="36"/>
    <x v="1"/>
    <x v="6"/>
    <x v="1"/>
  </r>
  <r>
    <s v="TX501041"/>
    <x v="18"/>
    <x v="2"/>
    <n v="66.400000000000006"/>
    <x v="896"/>
    <x v="40"/>
    <d v="2025-02-11T00:00:00"/>
    <x v="0"/>
    <x v="2"/>
    <x v="1"/>
    <x v="0"/>
    <x v="7"/>
    <x v="3"/>
    <x v="6"/>
    <x v="0"/>
  </r>
  <r>
    <s v="TX501042"/>
    <x v="17"/>
    <x v="12"/>
    <n v="35.9"/>
    <x v="897"/>
    <x v="40"/>
    <d v="2025-02-17T00:00:00"/>
    <x v="2"/>
    <x v="1"/>
    <x v="0"/>
    <x v="0"/>
    <x v="7"/>
    <x v="6"/>
    <x v="6"/>
    <x v="2"/>
  </r>
  <r>
    <s v="TX501043"/>
    <x v="0"/>
    <x v="12"/>
    <n v="26.9"/>
    <x v="799"/>
    <x v="40"/>
    <d v="2025-02-11T00:00:00"/>
    <x v="1"/>
    <x v="1"/>
    <x v="0"/>
    <x v="0"/>
    <x v="7"/>
    <x v="3"/>
    <x v="6"/>
    <x v="1"/>
  </r>
  <r>
    <s v="TX501044"/>
    <x v="2"/>
    <x v="0"/>
    <n v="55.1"/>
    <x v="898"/>
    <x v="40"/>
    <d v="2025-02-11T00:00:00"/>
    <x v="2"/>
    <x v="0"/>
    <x v="0"/>
    <x v="0"/>
    <x v="7"/>
    <x v="3"/>
    <x v="6"/>
    <x v="2"/>
  </r>
  <r>
    <s v="TX501045"/>
    <x v="4"/>
    <x v="1"/>
    <n v="23.9"/>
    <x v="538"/>
    <x v="40"/>
    <d v="2025-02-11T00:00:00"/>
    <x v="1"/>
    <x v="0"/>
    <x v="2"/>
    <x v="0"/>
    <x v="8"/>
    <x v="3"/>
    <x v="6"/>
    <x v="1"/>
  </r>
  <r>
    <s v="TX501046"/>
    <x v="9"/>
    <x v="15"/>
    <n v="21.1"/>
    <x v="899"/>
    <x v="40"/>
    <d v="2025-02-18T00:00:00"/>
    <x v="2"/>
    <x v="0"/>
    <x v="1"/>
    <x v="0"/>
    <x v="8"/>
    <x v="9"/>
    <x v="6"/>
    <x v="2"/>
  </r>
  <r>
    <s v="TX501047"/>
    <x v="8"/>
    <x v="9"/>
    <n v="33.799999999999997"/>
    <x v="900"/>
    <x v="40"/>
    <d v="2025-02-12T00:00:00"/>
    <x v="2"/>
    <x v="0"/>
    <x v="0"/>
    <x v="0"/>
    <x v="8"/>
    <x v="1"/>
    <x v="6"/>
    <x v="2"/>
  </r>
  <r>
    <s v="TX501048"/>
    <x v="2"/>
    <x v="12"/>
    <n v="56.1"/>
    <x v="901"/>
    <x v="40"/>
    <d v="2025-02-10T00:00:00"/>
    <x v="2"/>
    <x v="3"/>
    <x v="2"/>
    <x v="0"/>
    <x v="9"/>
    <x v="7"/>
    <x v="6"/>
    <x v="2"/>
  </r>
  <r>
    <s v="TX501049"/>
    <x v="3"/>
    <x v="0"/>
    <n v="58.5"/>
    <x v="902"/>
    <x v="41"/>
    <d v="2025-02-15T00:00:00"/>
    <x v="2"/>
    <x v="1"/>
    <x v="2"/>
    <x v="0"/>
    <x v="9"/>
    <x v="5"/>
    <x v="6"/>
    <x v="2"/>
  </r>
  <r>
    <s v="TX501050"/>
    <x v="6"/>
    <x v="0"/>
    <n v="84.2"/>
    <x v="903"/>
    <x v="41"/>
    <d v="2025-02-13T00:00:00"/>
    <x v="1"/>
    <x v="3"/>
    <x v="0"/>
    <x v="0"/>
    <x v="11"/>
    <x v="1"/>
    <x v="6"/>
    <x v="1"/>
  </r>
  <r>
    <s v="TX501051"/>
    <x v="11"/>
    <x v="12"/>
    <n v="52"/>
    <x v="904"/>
    <x v="41"/>
    <d v="2025-02-14T00:00:00"/>
    <x v="1"/>
    <x v="0"/>
    <x v="0"/>
    <x v="0"/>
    <x v="11"/>
    <x v="2"/>
    <x v="6"/>
    <x v="1"/>
  </r>
  <r>
    <s v="TX501052"/>
    <x v="4"/>
    <x v="9"/>
    <n v="31.5"/>
    <x v="905"/>
    <x v="41"/>
    <d v="2025-02-12T00:00:00"/>
    <x v="2"/>
    <x v="0"/>
    <x v="2"/>
    <x v="0"/>
    <x v="11"/>
    <x v="3"/>
    <x v="6"/>
    <x v="2"/>
  </r>
  <r>
    <s v="TX501053"/>
    <x v="16"/>
    <x v="2"/>
    <n v="46.2"/>
    <x v="209"/>
    <x v="41"/>
    <d v="2025-02-12T00:00:00"/>
    <x v="1"/>
    <x v="0"/>
    <x v="0"/>
    <x v="0"/>
    <x v="53"/>
    <x v="3"/>
    <x v="6"/>
    <x v="1"/>
  </r>
  <r>
    <s v="TX501054"/>
    <x v="2"/>
    <x v="13"/>
    <n v="135"/>
    <x v="906"/>
    <x v="41"/>
    <d v="2025-02-12T00:00:00"/>
    <x v="2"/>
    <x v="1"/>
    <x v="2"/>
    <x v="0"/>
    <x v="18"/>
    <x v="3"/>
    <x v="6"/>
    <x v="2"/>
  </r>
  <r>
    <s v="TX501055"/>
    <x v="12"/>
    <x v="2"/>
    <n v="92.2"/>
    <x v="907"/>
    <x v="41"/>
    <d v="2025-02-15T00:00:00"/>
    <x v="1"/>
    <x v="0"/>
    <x v="0"/>
    <x v="0"/>
    <x v="21"/>
    <x v="5"/>
    <x v="6"/>
    <x v="1"/>
  </r>
  <r>
    <s v="TX501056"/>
    <x v="8"/>
    <x v="0"/>
    <n v="36.6"/>
    <x v="547"/>
    <x v="41"/>
    <d v="2025-02-13T00:00:00"/>
    <x v="1"/>
    <x v="2"/>
    <x v="2"/>
    <x v="0"/>
    <x v="21"/>
    <x v="1"/>
    <x v="6"/>
    <x v="1"/>
  </r>
  <r>
    <s v="TX501057"/>
    <x v="9"/>
    <x v="1"/>
    <n v="50.6"/>
    <x v="855"/>
    <x v="41"/>
    <d v="2025-02-14T00:00:00"/>
    <x v="2"/>
    <x v="0"/>
    <x v="0"/>
    <x v="0"/>
    <x v="2"/>
    <x v="2"/>
    <x v="6"/>
    <x v="2"/>
  </r>
  <r>
    <s v="TX501058"/>
    <x v="18"/>
    <x v="3"/>
    <n v="56.7"/>
    <x v="908"/>
    <x v="41"/>
    <d v="2025-02-14T00:00:00"/>
    <x v="2"/>
    <x v="0"/>
    <x v="0"/>
    <x v="0"/>
    <x v="2"/>
    <x v="2"/>
    <x v="6"/>
    <x v="2"/>
  </r>
  <r>
    <s v="TX501059"/>
    <x v="9"/>
    <x v="15"/>
    <n v="22.9"/>
    <x v="909"/>
    <x v="41"/>
    <d v="2025-02-12T00:00:00"/>
    <x v="2"/>
    <x v="0"/>
    <x v="1"/>
    <x v="0"/>
    <x v="44"/>
    <x v="3"/>
    <x v="6"/>
    <x v="2"/>
  </r>
  <r>
    <s v="TX501060"/>
    <x v="15"/>
    <x v="10"/>
    <n v="53.6"/>
    <x v="910"/>
    <x v="41"/>
    <d v="2025-02-12T00:00:00"/>
    <x v="1"/>
    <x v="0"/>
    <x v="0"/>
    <x v="0"/>
    <x v="22"/>
    <x v="3"/>
    <x v="6"/>
    <x v="1"/>
  </r>
  <r>
    <s v="TX501061"/>
    <x v="18"/>
    <x v="1"/>
    <n v="30.2"/>
    <x v="266"/>
    <x v="41"/>
    <d v="2025-02-13T00:00:00"/>
    <x v="0"/>
    <x v="2"/>
    <x v="2"/>
    <x v="0"/>
    <x v="3"/>
    <x v="1"/>
    <x v="6"/>
    <x v="0"/>
  </r>
  <r>
    <s v="TX501062"/>
    <x v="15"/>
    <x v="13"/>
    <n v="83.4"/>
    <x v="911"/>
    <x v="41"/>
    <d v="2025-02-12T00:00:00"/>
    <x v="1"/>
    <x v="1"/>
    <x v="2"/>
    <x v="0"/>
    <x v="3"/>
    <x v="3"/>
    <x v="6"/>
    <x v="1"/>
  </r>
  <r>
    <s v="TX501063"/>
    <x v="13"/>
    <x v="4"/>
    <n v="16.600000000000001"/>
    <x v="896"/>
    <x v="41"/>
    <d v="2025-02-13T00:00:00"/>
    <x v="1"/>
    <x v="1"/>
    <x v="0"/>
    <x v="0"/>
    <x v="3"/>
    <x v="1"/>
    <x v="6"/>
    <x v="1"/>
  </r>
  <r>
    <s v="TX501064"/>
    <x v="8"/>
    <x v="14"/>
    <n v="21.9"/>
    <x v="912"/>
    <x v="41"/>
    <d v="2025-02-13T00:00:00"/>
    <x v="2"/>
    <x v="4"/>
    <x v="1"/>
    <x v="0"/>
    <x v="3"/>
    <x v="1"/>
    <x v="6"/>
    <x v="2"/>
  </r>
  <r>
    <s v="TX501065"/>
    <x v="8"/>
    <x v="31"/>
    <n v="33.799999999999997"/>
    <x v="913"/>
    <x v="41"/>
    <d v="2025-02-13T00:00:00"/>
    <x v="1"/>
    <x v="2"/>
    <x v="4"/>
    <x v="0"/>
    <x v="3"/>
    <x v="1"/>
    <x v="6"/>
    <x v="1"/>
  </r>
  <r>
    <s v="TX501066"/>
    <x v="18"/>
    <x v="1"/>
    <n v="53.2"/>
    <x v="793"/>
    <x v="41"/>
    <d v="2025-02-11T00:00:00"/>
    <x v="1"/>
    <x v="1"/>
    <x v="0"/>
    <x v="0"/>
    <x v="3"/>
    <x v="7"/>
    <x v="6"/>
    <x v="1"/>
  </r>
  <r>
    <s v="TX501067"/>
    <x v="2"/>
    <x v="1"/>
    <n v="176.7"/>
    <x v="914"/>
    <x v="41"/>
    <d v="2025-02-14T00:00:00"/>
    <x v="2"/>
    <x v="2"/>
    <x v="0"/>
    <x v="0"/>
    <x v="3"/>
    <x v="2"/>
    <x v="6"/>
    <x v="2"/>
  </r>
  <r>
    <s v="TX501068"/>
    <x v="12"/>
    <x v="2"/>
    <n v="54"/>
    <x v="915"/>
    <x v="41"/>
    <d v="2025-02-14T00:00:00"/>
    <x v="1"/>
    <x v="0"/>
    <x v="1"/>
    <x v="0"/>
    <x v="3"/>
    <x v="2"/>
    <x v="6"/>
    <x v="1"/>
  </r>
  <r>
    <s v="TX501069"/>
    <x v="9"/>
    <x v="1"/>
    <n v="70.099999999999994"/>
    <x v="634"/>
    <x v="41"/>
    <d v="2025-02-19T00:00:00"/>
    <x v="2"/>
    <x v="3"/>
    <x v="2"/>
    <x v="0"/>
    <x v="3"/>
    <x v="9"/>
    <x v="6"/>
    <x v="2"/>
  </r>
  <r>
    <s v="TX501070"/>
    <x v="8"/>
    <x v="0"/>
    <n v="26.5"/>
    <x v="38"/>
    <x v="41"/>
    <d v="2025-02-13T00:00:00"/>
    <x v="2"/>
    <x v="1"/>
    <x v="0"/>
    <x v="0"/>
    <x v="3"/>
    <x v="1"/>
    <x v="6"/>
    <x v="2"/>
  </r>
  <r>
    <s v="TX501071"/>
    <x v="7"/>
    <x v="9"/>
    <n v="89"/>
    <x v="916"/>
    <x v="41"/>
    <d v="2025-02-13T00:00:00"/>
    <x v="1"/>
    <x v="2"/>
    <x v="4"/>
    <x v="0"/>
    <x v="3"/>
    <x v="1"/>
    <x v="6"/>
    <x v="1"/>
  </r>
  <r>
    <s v="TX501072"/>
    <x v="1"/>
    <x v="13"/>
    <n v="47"/>
    <x v="917"/>
    <x v="41"/>
    <d v="2025-02-14T00:00:00"/>
    <x v="2"/>
    <x v="3"/>
    <x v="0"/>
    <x v="0"/>
    <x v="24"/>
    <x v="2"/>
    <x v="6"/>
    <x v="2"/>
  </r>
  <r>
    <s v="TX501073"/>
    <x v="3"/>
    <x v="1"/>
    <n v="55.2"/>
    <x v="918"/>
    <x v="41"/>
    <d v="2025-02-14T00:00:00"/>
    <x v="1"/>
    <x v="1"/>
    <x v="1"/>
    <x v="0"/>
    <x v="6"/>
    <x v="2"/>
    <x v="6"/>
    <x v="1"/>
  </r>
  <r>
    <s v="TX501074"/>
    <x v="8"/>
    <x v="39"/>
    <n v="33.299999999999997"/>
    <x v="919"/>
    <x v="41"/>
    <d v="2025-02-25T00:00:00"/>
    <x v="1"/>
    <x v="1"/>
    <x v="2"/>
    <x v="0"/>
    <x v="6"/>
    <x v="12"/>
    <x v="6"/>
    <x v="1"/>
  </r>
  <r>
    <s v="TX501075"/>
    <x v="2"/>
    <x v="12"/>
    <n v="110.9"/>
    <x v="920"/>
    <x v="42"/>
    <d v="2025-02-12T00:00:00"/>
    <x v="1"/>
    <x v="2"/>
    <x v="4"/>
    <x v="0"/>
    <x v="6"/>
    <x v="7"/>
    <x v="6"/>
    <x v="1"/>
  </r>
  <r>
    <s v="TX501076"/>
    <x v="2"/>
    <x v="13"/>
    <n v="67.3"/>
    <x v="921"/>
    <x v="42"/>
    <d v="2025-02-13T00:00:00"/>
    <x v="1"/>
    <x v="0"/>
    <x v="0"/>
    <x v="0"/>
    <x v="8"/>
    <x v="3"/>
    <x v="6"/>
    <x v="1"/>
  </r>
  <r>
    <s v="TX501077"/>
    <x v="6"/>
    <x v="2"/>
    <n v="69.7"/>
    <x v="922"/>
    <x v="42"/>
    <d v="2025-02-13T00:00:00"/>
    <x v="1"/>
    <x v="2"/>
    <x v="1"/>
    <x v="0"/>
    <x v="8"/>
    <x v="3"/>
    <x v="6"/>
    <x v="1"/>
  </r>
  <r>
    <s v="TX501078"/>
    <x v="5"/>
    <x v="0"/>
    <n v="39.1"/>
    <x v="923"/>
    <x v="42"/>
    <d v="2025-02-17T00:00:00"/>
    <x v="1"/>
    <x v="0"/>
    <x v="1"/>
    <x v="0"/>
    <x v="17"/>
    <x v="0"/>
    <x v="6"/>
    <x v="1"/>
  </r>
  <r>
    <s v="TX501079"/>
    <x v="2"/>
    <x v="2"/>
    <n v="208.6"/>
    <x v="924"/>
    <x v="42"/>
    <d v="2025-02-12T00:00:00"/>
    <x v="1"/>
    <x v="4"/>
    <x v="2"/>
    <x v="0"/>
    <x v="17"/>
    <x v="7"/>
    <x v="6"/>
    <x v="1"/>
  </r>
  <r>
    <s v="TX501080"/>
    <x v="15"/>
    <x v="2"/>
    <n v="27.8"/>
    <x v="925"/>
    <x v="42"/>
    <d v="2025-02-13T00:00:00"/>
    <x v="1"/>
    <x v="3"/>
    <x v="1"/>
    <x v="0"/>
    <x v="11"/>
    <x v="3"/>
    <x v="6"/>
    <x v="1"/>
  </r>
  <r>
    <s v="TX501081"/>
    <x v="10"/>
    <x v="9"/>
    <n v="29.4"/>
    <x v="926"/>
    <x v="42"/>
    <d v="2025-02-14T00:00:00"/>
    <x v="2"/>
    <x v="0"/>
    <x v="0"/>
    <x v="0"/>
    <x v="11"/>
    <x v="1"/>
    <x v="6"/>
    <x v="2"/>
  </r>
  <r>
    <s v="TX501082"/>
    <x v="9"/>
    <x v="1"/>
    <n v="29.2"/>
    <x v="305"/>
    <x v="42"/>
    <d v="2025-02-14T00:00:00"/>
    <x v="2"/>
    <x v="1"/>
    <x v="2"/>
    <x v="0"/>
    <x v="20"/>
    <x v="1"/>
    <x v="6"/>
    <x v="2"/>
  </r>
  <r>
    <s v="TX501083"/>
    <x v="10"/>
    <x v="9"/>
    <n v="26.5"/>
    <x v="927"/>
    <x v="42"/>
    <d v="2025-02-14T00:00:00"/>
    <x v="2"/>
    <x v="0"/>
    <x v="0"/>
    <x v="0"/>
    <x v="52"/>
    <x v="1"/>
    <x v="6"/>
    <x v="2"/>
  </r>
  <r>
    <s v="TX501084"/>
    <x v="5"/>
    <x v="0"/>
    <n v="30.3"/>
    <x v="928"/>
    <x v="42"/>
    <d v="2025-02-13T00:00:00"/>
    <x v="2"/>
    <x v="4"/>
    <x v="1"/>
    <x v="0"/>
    <x v="13"/>
    <x v="3"/>
    <x v="6"/>
    <x v="2"/>
  </r>
  <r>
    <s v="TX501085"/>
    <x v="16"/>
    <x v="4"/>
    <n v="39.700000000000003"/>
    <x v="929"/>
    <x v="42"/>
    <d v="2025-02-13T00:00:00"/>
    <x v="2"/>
    <x v="0"/>
    <x v="0"/>
    <x v="0"/>
    <x v="21"/>
    <x v="3"/>
    <x v="6"/>
    <x v="2"/>
  </r>
  <r>
    <s v="TX501086"/>
    <x v="7"/>
    <x v="7"/>
    <n v="58.9"/>
    <x v="930"/>
    <x v="42"/>
    <d v="2025-02-14T00:00:00"/>
    <x v="2"/>
    <x v="1"/>
    <x v="4"/>
    <x v="0"/>
    <x v="21"/>
    <x v="1"/>
    <x v="6"/>
    <x v="2"/>
  </r>
  <r>
    <s v="TX501087"/>
    <x v="2"/>
    <x v="1"/>
    <n v="174.1"/>
    <x v="931"/>
    <x v="42"/>
    <d v="2025-02-14T00:00:00"/>
    <x v="2"/>
    <x v="0"/>
    <x v="1"/>
    <x v="0"/>
    <x v="46"/>
    <x v="1"/>
    <x v="6"/>
    <x v="2"/>
  </r>
  <r>
    <s v="TX501088"/>
    <x v="6"/>
    <x v="1"/>
    <n v="70.8"/>
    <x v="932"/>
    <x v="42"/>
    <d v="2025-02-15T00:00:00"/>
    <x v="1"/>
    <x v="2"/>
    <x v="0"/>
    <x v="0"/>
    <x v="22"/>
    <x v="2"/>
    <x v="6"/>
    <x v="1"/>
  </r>
  <r>
    <s v="TX501089"/>
    <x v="7"/>
    <x v="1"/>
    <n v="57.4"/>
    <x v="311"/>
    <x v="42"/>
    <d v="2025-02-14T00:00:00"/>
    <x v="2"/>
    <x v="1"/>
    <x v="1"/>
    <x v="0"/>
    <x v="34"/>
    <x v="1"/>
    <x v="6"/>
    <x v="2"/>
  </r>
  <r>
    <s v="TX501090"/>
    <x v="0"/>
    <x v="1"/>
    <n v="28.5"/>
    <x v="933"/>
    <x v="42"/>
    <d v="2025-02-14T00:00:00"/>
    <x v="1"/>
    <x v="3"/>
    <x v="1"/>
    <x v="0"/>
    <x v="3"/>
    <x v="1"/>
    <x v="6"/>
    <x v="1"/>
  </r>
  <r>
    <s v="TX501091"/>
    <x v="2"/>
    <x v="28"/>
    <n v="106.6"/>
    <x v="934"/>
    <x v="42"/>
    <d v="2025-02-13T00:00:00"/>
    <x v="0"/>
    <x v="1"/>
    <x v="4"/>
    <x v="0"/>
    <x v="3"/>
    <x v="3"/>
    <x v="6"/>
    <x v="0"/>
  </r>
  <r>
    <s v="TX501092"/>
    <x v="2"/>
    <x v="2"/>
    <n v="119.7"/>
    <x v="935"/>
    <x v="42"/>
    <d v="2025-02-13T00:00:00"/>
    <x v="2"/>
    <x v="1"/>
    <x v="4"/>
    <x v="0"/>
    <x v="3"/>
    <x v="3"/>
    <x v="6"/>
    <x v="2"/>
  </r>
  <r>
    <s v="TX501093"/>
    <x v="18"/>
    <x v="0"/>
    <n v="73.3"/>
    <x v="936"/>
    <x v="42"/>
    <d v="2025-02-17T00:00:00"/>
    <x v="2"/>
    <x v="0"/>
    <x v="2"/>
    <x v="0"/>
    <x v="3"/>
    <x v="0"/>
    <x v="6"/>
    <x v="2"/>
  </r>
  <r>
    <s v="TX501094"/>
    <x v="0"/>
    <x v="1"/>
    <n v="25.8"/>
    <x v="937"/>
    <x v="42"/>
    <d v="2025-02-26T00:00:00"/>
    <x v="1"/>
    <x v="2"/>
    <x v="0"/>
    <x v="0"/>
    <x v="3"/>
    <x v="12"/>
    <x v="6"/>
    <x v="1"/>
  </r>
  <r>
    <s v="TX501095"/>
    <x v="17"/>
    <x v="2"/>
    <n v="49.1"/>
    <x v="824"/>
    <x v="42"/>
    <d v="2025-02-14T00:00:00"/>
    <x v="2"/>
    <x v="0"/>
    <x v="0"/>
    <x v="0"/>
    <x v="24"/>
    <x v="1"/>
    <x v="6"/>
    <x v="2"/>
  </r>
  <r>
    <s v="TX501096"/>
    <x v="1"/>
    <x v="0"/>
    <n v="44.9"/>
    <x v="938"/>
    <x v="42"/>
    <d v="2025-02-15T00:00:00"/>
    <x v="2"/>
    <x v="3"/>
    <x v="2"/>
    <x v="0"/>
    <x v="6"/>
    <x v="2"/>
    <x v="6"/>
    <x v="2"/>
  </r>
  <r>
    <s v="TX501097"/>
    <x v="15"/>
    <x v="3"/>
    <n v="29.9"/>
    <x v="549"/>
    <x v="42"/>
    <d v="2025-02-13T00:00:00"/>
    <x v="2"/>
    <x v="0"/>
    <x v="0"/>
    <x v="0"/>
    <x v="6"/>
    <x v="3"/>
    <x v="6"/>
    <x v="2"/>
  </r>
  <r>
    <s v="TX501098"/>
    <x v="7"/>
    <x v="1"/>
    <n v="54.3"/>
    <x v="939"/>
    <x v="43"/>
    <d v="2025-02-14T00:00:00"/>
    <x v="1"/>
    <x v="3"/>
    <x v="0"/>
    <x v="0"/>
    <x v="36"/>
    <x v="3"/>
    <x v="6"/>
    <x v="1"/>
  </r>
  <r>
    <s v="TX501099"/>
    <x v="9"/>
    <x v="12"/>
    <n v="57"/>
    <x v="416"/>
    <x v="43"/>
    <d v="2025-02-15T00:00:00"/>
    <x v="2"/>
    <x v="0"/>
    <x v="0"/>
    <x v="0"/>
    <x v="8"/>
    <x v="1"/>
    <x v="6"/>
    <x v="2"/>
  </r>
  <r>
    <s v="TX501100"/>
    <x v="2"/>
    <x v="0"/>
    <n v="139.19999999999999"/>
    <x v="388"/>
    <x v="43"/>
    <d v="2025-02-14T00:00:00"/>
    <x v="2"/>
    <x v="3"/>
    <x v="2"/>
    <x v="0"/>
    <x v="8"/>
    <x v="3"/>
    <x v="6"/>
    <x v="2"/>
  </r>
  <r>
    <s v="TX501101"/>
    <x v="10"/>
    <x v="0"/>
    <n v="33"/>
    <x v="940"/>
    <x v="43"/>
    <d v="2025-02-16T00:00:00"/>
    <x v="2"/>
    <x v="0"/>
    <x v="2"/>
    <x v="0"/>
    <x v="8"/>
    <x v="2"/>
    <x v="6"/>
    <x v="2"/>
  </r>
  <r>
    <s v="TX501102"/>
    <x v="11"/>
    <x v="13"/>
    <n v="80.2"/>
    <x v="941"/>
    <x v="43"/>
    <d v="2025-02-15T00:00:00"/>
    <x v="1"/>
    <x v="1"/>
    <x v="4"/>
    <x v="0"/>
    <x v="8"/>
    <x v="1"/>
    <x v="6"/>
    <x v="1"/>
  </r>
  <r>
    <s v="TX501103"/>
    <x v="18"/>
    <x v="8"/>
    <n v="49"/>
    <x v="942"/>
    <x v="43"/>
    <d v="2025-02-14T00:00:00"/>
    <x v="0"/>
    <x v="2"/>
    <x v="1"/>
    <x v="0"/>
    <x v="9"/>
    <x v="3"/>
    <x v="6"/>
    <x v="0"/>
  </r>
  <r>
    <s v="TX501104"/>
    <x v="1"/>
    <x v="12"/>
    <n v="104.4"/>
    <x v="943"/>
    <x v="43"/>
    <d v="2025-02-13T00:00:00"/>
    <x v="2"/>
    <x v="0"/>
    <x v="0"/>
    <x v="0"/>
    <x v="9"/>
    <x v="7"/>
    <x v="6"/>
    <x v="2"/>
  </r>
  <r>
    <s v="TX501105"/>
    <x v="3"/>
    <x v="0"/>
    <n v="41.6"/>
    <x v="480"/>
    <x v="43"/>
    <d v="2025-02-16T00:00:00"/>
    <x v="1"/>
    <x v="3"/>
    <x v="0"/>
    <x v="0"/>
    <x v="11"/>
    <x v="2"/>
    <x v="6"/>
    <x v="1"/>
  </r>
  <r>
    <s v="TX501106"/>
    <x v="19"/>
    <x v="1"/>
    <n v="16.399999999999999"/>
    <x v="944"/>
    <x v="43"/>
    <d v="2025-02-14T00:00:00"/>
    <x v="3"/>
    <x v="0"/>
    <x v="2"/>
    <x v="0"/>
    <x v="11"/>
    <x v="3"/>
    <x v="6"/>
    <x v="3"/>
  </r>
  <r>
    <s v="TX501107"/>
    <x v="8"/>
    <x v="1"/>
    <n v="22"/>
    <x v="945"/>
    <x v="43"/>
    <d v="2025-02-14T00:00:00"/>
    <x v="1"/>
    <x v="2"/>
    <x v="2"/>
    <x v="0"/>
    <x v="53"/>
    <x v="3"/>
    <x v="6"/>
    <x v="1"/>
  </r>
  <r>
    <s v="TX501108"/>
    <x v="15"/>
    <x v="1"/>
    <n v="33.6"/>
    <x v="863"/>
    <x v="43"/>
    <d v="2025-02-18T00:00:00"/>
    <x v="2"/>
    <x v="0"/>
    <x v="0"/>
    <x v="0"/>
    <x v="21"/>
    <x v="0"/>
    <x v="6"/>
    <x v="2"/>
  </r>
  <r>
    <s v="TX501109"/>
    <x v="11"/>
    <x v="13"/>
    <n v="43"/>
    <x v="946"/>
    <x v="43"/>
    <d v="2025-02-14T00:00:00"/>
    <x v="2"/>
    <x v="2"/>
    <x v="0"/>
    <x v="0"/>
    <x v="21"/>
    <x v="3"/>
    <x v="6"/>
    <x v="2"/>
  </r>
  <r>
    <s v="TX501110"/>
    <x v="6"/>
    <x v="9"/>
    <n v="108.8"/>
    <x v="947"/>
    <x v="43"/>
    <d v="2025-02-16T00:00:00"/>
    <x v="2"/>
    <x v="4"/>
    <x v="2"/>
    <x v="0"/>
    <x v="21"/>
    <x v="2"/>
    <x v="6"/>
    <x v="2"/>
  </r>
  <r>
    <s v="TX501111"/>
    <x v="0"/>
    <x v="11"/>
    <n v="29.3"/>
    <x v="948"/>
    <x v="43"/>
    <d v="2025-02-15T00:00:00"/>
    <x v="1"/>
    <x v="4"/>
    <x v="2"/>
    <x v="0"/>
    <x v="21"/>
    <x v="1"/>
    <x v="6"/>
    <x v="1"/>
  </r>
  <r>
    <s v="TX501112"/>
    <x v="2"/>
    <x v="0"/>
    <n v="122.7"/>
    <x v="949"/>
    <x v="43"/>
    <d v="2025-02-16T00:00:00"/>
    <x v="3"/>
    <x v="0"/>
    <x v="2"/>
    <x v="0"/>
    <x v="1"/>
    <x v="2"/>
    <x v="6"/>
    <x v="3"/>
  </r>
  <r>
    <s v="TX501113"/>
    <x v="4"/>
    <x v="3"/>
    <n v="22.9"/>
    <x v="950"/>
    <x v="43"/>
    <d v="2025-02-14T00:00:00"/>
    <x v="2"/>
    <x v="0"/>
    <x v="0"/>
    <x v="0"/>
    <x v="42"/>
    <x v="3"/>
    <x v="6"/>
    <x v="2"/>
  </r>
  <r>
    <s v="TX501114"/>
    <x v="8"/>
    <x v="7"/>
    <n v="25.5"/>
    <x v="951"/>
    <x v="43"/>
    <d v="2025-02-20T00:00:00"/>
    <x v="2"/>
    <x v="0"/>
    <x v="0"/>
    <x v="0"/>
    <x v="33"/>
    <x v="6"/>
    <x v="6"/>
    <x v="2"/>
  </r>
  <r>
    <s v="TX501115"/>
    <x v="17"/>
    <x v="2"/>
    <n v="23.4"/>
    <x v="952"/>
    <x v="43"/>
    <d v="2025-02-17T00:00:00"/>
    <x v="2"/>
    <x v="0"/>
    <x v="2"/>
    <x v="0"/>
    <x v="3"/>
    <x v="5"/>
    <x v="6"/>
    <x v="2"/>
  </r>
  <r>
    <s v="TX501116"/>
    <x v="5"/>
    <x v="8"/>
    <n v="27.4"/>
    <x v="77"/>
    <x v="43"/>
    <d v="2025-02-16T00:00:00"/>
    <x v="2"/>
    <x v="2"/>
    <x v="0"/>
    <x v="0"/>
    <x v="3"/>
    <x v="2"/>
    <x v="6"/>
    <x v="2"/>
  </r>
  <r>
    <s v="TX501117"/>
    <x v="5"/>
    <x v="9"/>
    <n v="68.400000000000006"/>
    <x v="953"/>
    <x v="43"/>
    <d v="2025-02-14T00:00:00"/>
    <x v="2"/>
    <x v="0"/>
    <x v="0"/>
    <x v="0"/>
    <x v="3"/>
    <x v="3"/>
    <x v="6"/>
    <x v="2"/>
  </r>
  <r>
    <s v="TX501118"/>
    <x v="6"/>
    <x v="0"/>
    <n v="51.9"/>
    <x v="954"/>
    <x v="43"/>
    <d v="2025-02-13T00:00:00"/>
    <x v="2"/>
    <x v="0"/>
    <x v="0"/>
    <x v="0"/>
    <x v="3"/>
    <x v="7"/>
    <x v="6"/>
    <x v="2"/>
  </r>
  <r>
    <s v="TX501119"/>
    <x v="0"/>
    <x v="9"/>
    <n v="26.4"/>
    <x v="955"/>
    <x v="43"/>
    <d v="2025-02-16T00:00:00"/>
    <x v="2"/>
    <x v="0"/>
    <x v="2"/>
    <x v="0"/>
    <x v="3"/>
    <x v="2"/>
    <x v="6"/>
    <x v="2"/>
  </r>
  <r>
    <s v="TX501120"/>
    <x v="12"/>
    <x v="1"/>
    <n v="117"/>
    <x v="540"/>
    <x v="43"/>
    <d v="2025-02-14T00:00:00"/>
    <x v="2"/>
    <x v="1"/>
    <x v="1"/>
    <x v="0"/>
    <x v="3"/>
    <x v="3"/>
    <x v="6"/>
    <x v="2"/>
  </r>
  <r>
    <s v="TX501121"/>
    <x v="7"/>
    <x v="2"/>
    <n v="49.6"/>
    <x v="956"/>
    <x v="44"/>
    <d v="2025-02-16T00:00:00"/>
    <x v="2"/>
    <x v="0"/>
    <x v="0"/>
    <x v="0"/>
    <x v="3"/>
    <x v="1"/>
    <x v="6"/>
    <x v="2"/>
  </r>
  <r>
    <s v="TX501122"/>
    <x v="4"/>
    <x v="2"/>
    <n v="38"/>
    <x v="717"/>
    <x v="44"/>
    <d v="2025-02-17T00:00:00"/>
    <x v="1"/>
    <x v="2"/>
    <x v="4"/>
    <x v="0"/>
    <x v="3"/>
    <x v="2"/>
    <x v="6"/>
    <x v="1"/>
  </r>
  <r>
    <s v="TX501123"/>
    <x v="0"/>
    <x v="2"/>
    <n v="20.6"/>
    <x v="957"/>
    <x v="44"/>
    <d v="2025-02-16T00:00:00"/>
    <x v="2"/>
    <x v="4"/>
    <x v="2"/>
    <x v="0"/>
    <x v="3"/>
    <x v="1"/>
    <x v="6"/>
    <x v="2"/>
  </r>
  <r>
    <s v="TX501124"/>
    <x v="0"/>
    <x v="1"/>
    <n v="16"/>
    <x v="109"/>
    <x v="44"/>
    <d v="2025-02-15T00:00:00"/>
    <x v="1"/>
    <x v="1"/>
    <x v="1"/>
    <x v="0"/>
    <x v="49"/>
    <x v="3"/>
    <x v="6"/>
    <x v="1"/>
  </r>
  <r>
    <s v="TX501125"/>
    <x v="15"/>
    <x v="12"/>
    <n v="49.3"/>
    <x v="958"/>
    <x v="44"/>
    <d v="2025-02-15T00:00:00"/>
    <x v="2"/>
    <x v="2"/>
    <x v="0"/>
    <x v="0"/>
    <x v="23"/>
    <x v="3"/>
    <x v="6"/>
    <x v="2"/>
  </r>
  <r>
    <s v="TX501126"/>
    <x v="9"/>
    <x v="1"/>
    <n v="24.1"/>
    <x v="959"/>
    <x v="44"/>
    <d v="2025-02-18T00:00:00"/>
    <x v="2"/>
    <x v="0"/>
    <x v="0"/>
    <x v="0"/>
    <x v="6"/>
    <x v="5"/>
    <x v="6"/>
    <x v="2"/>
  </r>
  <r>
    <s v="TX501127"/>
    <x v="15"/>
    <x v="8"/>
    <n v="32.700000000000003"/>
    <x v="960"/>
    <x v="44"/>
    <d v="2025-02-15T00:00:00"/>
    <x v="2"/>
    <x v="1"/>
    <x v="0"/>
    <x v="0"/>
    <x v="6"/>
    <x v="3"/>
    <x v="6"/>
    <x v="2"/>
  </r>
  <r>
    <s v="TX501128"/>
    <x v="6"/>
    <x v="2"/>
    <n v="74.400000000000006"/>
    <x v="961"/>
    <x v="44"/>
    <d v="2025-02-15T00:00:00"/>
    <x v="2"/>
    <x v="3"/>
    <x v="2"/>
    <x v="0"/>
    <x v="8"/>
    <x v="3"/>
    <x v="6"/>
    <x v="2"/>
  </r>
  <r>
    <s v="TX501129"/>
    <x v="12"/>
    <x v="0"/>
    <n v="45.6"/>
    <x v="962"/>
    <x v="44"/>
    <d v="2025-02-18T00:00:00"/>
    <x v="2"/>
    <x v="4"/>
    <x v="0"/>
    <x v="0"/>
    <x v="8"/>
    <x v="5"/>
    <x v="6"/>
    <x v="2"/>
  </r>
  <r>
    <s v="TX501130"/>
    <x v="8"/>
    <x v="8"/>
    <n v="19.600000000000001"/>
    <x v="963"/>
    <x v="44"/>
    <d v="2025-02-27T00:00:00"/>
    <x v="2"/>
    <x v="0"/>
    <x v="0"/>
    <x v="0"/>
    <x v="8"/>
    <x v="10"/>
    <x v="6"/>
    <x v="2"/>
  </r>
  <r>
    <s v="TX501131"/>
    <x v="9"/>
    <x v="0"/>
    <n v="51.8"/>
    <x v="964"/>
    <x v="44"/>
    <d v="2025-02-15T00:00:00"/>
    <x v="2"/>
    <x v="1"/>
    <x v="0"/>
    <x v="0"/>
    <x v="8"/>
    <x v="3"/>
    <x v="6"/>
    <x v="2"/>
  </r>
  <r>
    <s v="TX501132"/>
    <x v="6"/>
    <x v="0"/>
    <n v="74.7"/>
    <x v="965"/>
    <x v="44"/>
    <d v="2025-02-15T00:00:00"/>
    <x v="1"/>
    <x v="0"/>
    <x v="1"/>
    <x v="0"/>
    <x v="8"/>
    <x v="3"/>
    <x v="6"/>
    <x v="1"/>
  </r>
  <r>
    <s v="TX501133"/>
    <x v="19"/>
    <x v="2"/>
    <n v="22.4"/>
    <x v="966"/>
    <x v="44"/>
    <d v="2025-02-15T00:00:00"/>
    <x v="2"/>
    <x v="1"/>
    <x v="2"/>
    <x v="0"/>
    <x v="9"/>
    <x v="3"/>
    <x v="6"/>
    <x v="2"/>
  </r>
  <r>
    <s v="TX501134"/>
    <x v="1"/>
    <x v="12"/>
    <n v="31.4"/>
    <x v="967"/>
    <x v="44"/>
    <d v="2025-02-15T00:00:00"/>
    <x v="2"/>
    <x v="1"/>
    <x v="0"/>
    <x v="0"/>
    <x v="9"/>
    <x v="3"/>
    <x v="6"/>
    <x v="2"/>
  </r>
  <r>
    <s v="TX501135"/>
    <x v="6"/>
    <x v="0"/>
    <n v="94"/>
    <x v="255"/>
    <x v="44"/>
    <d v="2025-02-14T00:00:00"/>
    <x v="2"/>
    <x v="1"/>
    <x v="2"/>
    <x v="0"/>
    <x v="10"/>
    <x v="7"/>
    <x v="6"/>
    <x v="2"/>
  </r>
  <r>
    <s v="TX501136"/>
    <x v="10"/>
    <x v="0"/>
    <n v="22.3"/>
    <x v="968"/>
    <x v="44"/>
    <d v="2025-02-15T00:00:00"/>
    <x v="1"/>
    <x v="4"/>
    <x v="0"/>
    <x v="0"/>
    <x v="20"/>
    <x v="3"/>
    <x v="6"/>
    <x v="1"/>
  </r>
  <r>
    <s v="TX501137"/>
    <x v="0"/>
    <x v="0"/>
    <n v="21.9"/>
    <x v="731"/>
    <x v="44"/>
    <d v="2025-02-17T00:00:00"/>
    <x v="2"/>
    <x v="2"/>
    <x v="0"/>
    <x v="0"/>
    <x v="21"/>
    <x v="2"/>
    <x v="6"/>
    <x v="2"/>
  </r>
  <r>
    <s v="TX501138"/>
    <x v="17"/>
    <x v="2"/>
    <n v="27"/>
    <x v="969"/>
    <x v="44"/>
    <d v="2025-02-16T00:00:00"/>
    <x v="2"/>
    <x v="4"/>
    <x v="2"/>
    <x v="0"/>
    <x v="2"/>
    <x v="1"/>
    <x v="6"/>
    <x v="2"/>
  </r>
  <r>
    <s v="TX501139"/>
    <x v="2"/>
    <x v="12"/>
    <n v="149.6"/>
    <x v="970"/>
    <x v="44"/>
    <d v="2025-02-14T00:00:00"/>
    <x v="2"/>
    <x v="4"/>
    <x v="0"/>
    <x v="0"/>
    <x v="22"/>
    <x v="7"/>
    <x v="6"/>
    <x v="2"/>
  </r>
  <r>
    <s v="TX501140"/>
    <x v="2"/>
    <x v="12"/>
    <n v="129.1"/>
    <x v="971"/>
    <x v="44"/>
    <d v="2025-02-24T00:00:00"/>
    <x v="1"/>
    <x v="0"/>
    <x v="1"/>
    <x v="0"/>
    <x v="3"/>
    <x v="14"/>
    <x v="6"/>
    <x v="1"/>
  </r>
  <r>
    <s v="TX501141"/>
    <x v="1"/>
    <x v="4"/>
    <n v="40.4"/>
    <x v="972"/>
    <x v="44"/>
    <d v="2025-02-15T00:00:00"/>
    <x v="1"/>
    <x v="1"/>
    <x v="1"/>
    <x v="0"/>
    <x v="3"/>
    <x v="3"/>
    <x v="6"/>
    <x v="1"/>
  </r>
  <r>
    <s v="TX501142"/>
    <x v="4"/>
    <x v="2"/>
    <n v="48.5"/>
    <x v="973"/>
    <x v="44"/>
    <d v="2025-02-16T00:00:00"/>
    <x v="2"/>
    <x v="0"/>
    <x v="4"/>
    <x v="0"/>
    <x v="3"/>
    <x v="1"/>
    <x v="6"/>
    <x v="2"/>
  </r>
  <r>
    <s v="TX501143"/>
    <x v="9"/>
    <x v="1"/>
    <n v="37.6"/>
    <x v="495"/>
    <x v="44"/>
    <d v="2025-02-16T00:00:00"/>
    <x v="2"/>
    <x v="1"/>
    <x v="2"/>
    <x v="0"/>
    <x v="3"/>
    <x v="1"/>
    <x v="6"/>
    <x v="2"/>
  </r>
  <r>
    <s v="TX501144"/>
    <x v="8"/>
    <x v="1"/>
    <n v="19.600000000000001"/>
    <x v="496"/>
    <x v="44"/>
    <d v="2025-02-15T00:00:00"/>
    <x v="1"/>
    <x v="3"/>
    <x v="4"/>
    <x v="0"/>
    <x v="43"/>
    <x v="3"/>
    <x v="6"/>
    <x v="1"/>
  </r>
  <r>
    <s v="TX501145"/>
    <x v="8"/>
    <x v="9"/>
    <n v="18.5"/>
    <x v="974"/>
    <x v="44"/>
    <d v="2025-02-15T00:00:00"/>
    <x v="2"/>
    <x v="2"/>
    <x v="1"/>
    <x v="0"/>
    <x v="6"/>
    <x v="3"/>
    <x v="6"/>
    <x v="2"/>
  </r>
  <r>
    <s v="TX501146"/>
    <x v="5"/>
    <x v="2"/>
    <n v="25.5"/>
    <x v="514"/>
    <x v="44"/>
    <d v="2025-02-16T00:00:00"/>
    <x v="2"/>
    <x v="4"/>
    <x v="1"/>
    <x v="0"/>
    <x v="6"/>
    <x v="1"/>
    <x v="6"/>
    <x v="2"/>
  </r>
  <r>
    <s v="TX501147"/>
    <x v="2"/>
    <x v="1"/>
    <n v="94.7"/>
    <x v="975"/>
    <x v="44"/>
    <d v="2025-02-15T00:00:00"/>
    <x v="2"/>
    <x v="2"/>
    <x v="0"/>
    <x v="0"/>
    <x v="36"/>
    <x v="3"/>
    <x v="6"/>
    <x v="2"/>
  </r>
  <r>
    <s v="TX501148"/>
    <x v="1"/>
    <x v="13"/>
    <n v="38.799999999999997"/>
    <x v="976"/>
    <x v="44"/>
    <d v="2025-02-19T00:00:00"/>
    <x v="2"/>
    <x v="2"/>
    <x v="2"/>
    <x v="0"/>
    <x v="8"/>
    <x v="0"/>
    <x v="6"/>
    <x v="2"/>
  </r>
  <r>
    <s v="TX501149"/>
    <x v="9"/>
    <x v="1"/>
    <n v="49.4"/>
    <x v="197"/>
    <x v="45"/>
    <d v="2025-02-23T00:00:00"/>
    <x v="1"/>
    <x v="4"/>
    <x v="1"/>
    <x v="0"/>
    <x v="8"/>
    <x v="9"/>
    <x v="6"/>
    <x v="1"/>
  </r>
  <r>
    <s v="TX501150"/>
    <x v="7"/>
    <x v="2"/>
    <n v="68"/>
    <x v="977"/>
    <x v="45"/>
    <d v="2025-02-18T00:00:00"/>
    <x v="1"/>
    <x v="0"/>
    <x v="2"/>
    <x v="0"/>
    <x v="8"/>
    <x v="2"/>
    <x v="6"/>
    <x v="1"/>
  </r>
  <r>
    <s v="TX501151"/>
    <x v="15"/>
    <x v="3"/>
    <n v="63.7"/>
    <x v="978"/>
    <x v="45"/>
    <d v="2025-02-16T00:00:00"/>
    <x v="2"/>
    <x v="2"/>
    <x v="2"/>
    <x v="0"/>
    <x v="8"/>
    <x v="3"/>
    <x v="6"/>
    <x v="2"/>
  </r>
  <r>
    <s v="TX501152"/>
    <x v="10"/>
    <x v="1"/>
    <n v="66.2"/>
    <x v="979"/>
    <x v="45"/>
    <d v="2025-02-16T00:00:00"/>
    <x v="2"/>
    <x v="4"/>
    <x v="2"/>
    <x v="0"/>
    <x v="17"/>
    <x v="3"/>
    <x v="6"/>
    <x v="2"/>
  </r>
  <r>
    <s v="TX501153"/>
    <x v="12"/>
    <x v="2"/>
    <n v="32.299999999999997"/>
    <x v="980"/>
    <x v="45"/>
    <d v="2025-02-16T00:00:00"/>
    <x v="3"/>
    <x v="2"/>
    <x v="1"/>
    <x v="0"/>
    <x v="9"/>
    <x v="3"/>
    <x v="6"/>
    <x v="3"/>
  </r>
  <r>
    <s v="TX501154"/>
    <x v="4"/>
    <x v="1"/>
    <n v="66.900000000000006"/>
    <x v="981"/>
    <x v="45"/>
    <d v="2025-02-18T00:00:00"/>
    <x v="1"/>
    <x v="1"/>
    <x v="0"/>
    <x v="0"/>
    <x v="11"/>
    <x v="2"/>
    <x v="6"/>
    <x v="1"/>
  </r>
  <r>
    <s v="TX501155"/>
    <x v="4"/>
    <x v="4"/>
    <n v="25.2"/>
    <x v="982"/>
    <x v="45"/>
    <d v="2025-02-19T00:00:00"/>
    <x v="2"/>
    <x v="0"/>
    <x v="1"/>
    <x v="0"/>
    <x v="11"/>
    <x v="5"/>
    <x v="6"/>
    <x v="2"/>
  </r>
  <r>
    <s v="TX501156"/>
    <x v="10"/>
    <x v="13"/>
    <n v="29.5"/>
    <x v="983"/>
    <x v="45"/>
    <d v="2025-02-16T00:00:00"/>
    <x v="1"/>
    <x v="2"/>
    <x v="0"/>
    <x v="0"/>
    <x v="11"/>
    <x v="3"/>
    <x v="6"/>
    <x v="1"/>
  </r>
  <r>
    <s v="TX501157"/>
    <x v="8"/>
    <x v="9"/>
    <n v="21.6"/>
    <x v="807"/>
    <x v="45"/>
    <d v="2025-02-17T00:00:00"/>
    <x v="2"/>
    <x v="0"/>
    <x v="2"/>
    <x v="0"/>
    <x v="32"/>
    <x v="1"/>
    <x v="6"/>
    <x v="2"/>
  </r>
  <r>
    <s v="TX501158"/>
    <x v="12"/>
    <x v="2"/>
    <n v="69"/>
    <x v="461"/>
    <x v="45"/>
    <d v="2025-02-16T00:00:00"/>
    <x v="2"/>
    <x v="0"/>
    <x v="0"/>
    <x v="0"/>
    <x v="18"/>
    <x v="3"/>
    <x v="6"/>
    <x v="2"/>
  </r>
  <r>
    <s v="TX501159"/>
    <x v="7"/>
    <x v="1"/>
    <n v="115"/>
    <x v="984"/>
    <x v="45"/>
    <d v="2025-02-19T00:00:00"/>
    <x v="1"/>
    <x v="0"/>
    <x v="2"/>
    <x v="0"/>
    <x v="18"/>
    <x v="5"/>
    <x v="6"/>
    <x v="1"/>
  </r>
  <r>
    <s v="TX501160"/>
    <x v="2"/>
    <x v="1"/>
    <n v="109.3"/>
    <x v="985"/>
    <x v="45"/>
    <d v="2025-02-17T00:00:00"/>
    <x v="0"/>
    <x v="3"/>
    <x v="1"/>
    <x v="0"/>
    <x v="19"/>
    <x v="1"/>
    <x v="6"/>
    <x v="0"/>
  </r>
  <r>
    <s v="TX501161"/>
    <x v="9"/>
    <x v="1"/>
    <n v="66.599999999999994"/>
    <x v="986"/>
    <x v="45"/>
    <d v="2025-02-18T00:00:00"/>
    <x v="0"/>
    <x v="4"/>
    <x v="1"/>
    <x v="0"/>
    <x v="19"/>
    <x v="2"/>
    <x v="6"/>
    <x v="0"/>
  </r>
  <r>
    <s v="TX501162"/>
    <x v="12"/>
    <x v="9"/>
    <n v="47.7"/>
    <x v="987"/>
    <x v="45"/>
    <d v="2025-02-16T00:00:00"/>
    <x v="1"/>
    <x v="3"/>
    <x v="2"/>
    <x v="0"/>
    <x v="21"/>
    <x v="3"/>
    <x v="6"/>
    <x v="1"/>
  </r>
  <r>
    <s v="TX501163"/>
    <x v="8"/>
    <x v="1"/>
    <n v="46"/>
    <x v="988"/>
    <x v="45"/>
    <d v="2025-02-16T00:00:00"/>
    <x v="2"/>
    <x v="4"/>
    <x v="4"/>
    <x v="0"/>
    <x v="22"/>
    <x v="3"/>
    <x v="6"/>
    <x v="2"/>
  </r>
  <r>
    <s v="TX501164"/>
    <x v="1"/>
    <x v="13"/>
    <n v="39.299999999999997"/>
    <x v="989"/>
    <x v="45"/>
    <d v="2025-02-17T00:00:00"/>
    <x v="1"/>
    <x v="3"/>
    <x v="2"/>
    <x v="0"/>
    <x v="3"/>
    <x v="1"/>
    <x v="6"/>
    <x v="1"/>
  </r>
  <r>
    <s v="TX501165"/>
    <x v="9"/>
    <x v="0"/>
    <n v="70.2"/>
    <x v="474"/>
    <x v="45"/>
    <d v="2025-02-16T00:00:00"/>
    <x v="2"/>
    <x v="0"/>
    <x v="4"/>
    <x v="0"/>
    <x v="3"/>
    <x v="3"/>
    <x v="6"/>
    <x v="2"/>
  </r>
  <r>
    <s v="TX501166"/>
    <x v="3"/>
    <x v="12"/>
    <n v="71.5"/>
    <x v="990"/>
    <x v="45"/>
    <d v="2025-02-15T00:00:00"/>
    <x v="2"/>
    <x v="1"/>
    <x v="2"/>
    <x v="0"/>
    <x v="3"/>
    <x v="7"/>
    <x v="6"/>
    <x v="2"/>
  </r>
  <r>
    <s v="TX501167"/>
    <x v="10"/>
    <x v="3"/>
    <n v="31"/>
    <x v="991"/>
    <x v="45"/>
    <d v="2025-02-22T00:00:00"/>
    <x v="2"/>
    <x v="3"/>
    <x v="2"/>
    <x v="0"/>
    <x v="3"/>
    <x v="6"/>
    <x v="6"/>
    <x v="2"/>
  </r>
  <r>
    <s v="TX501168"/>
    <x v="2"/>
    <x v="9"/>
    <n v="68.2"/>
    <x v="992"/>
    <x v="45"/>
    <d v="2025-02-20T00:00:00"/>
    <x v="2"/>
    <x v="0"/>
    <x v="2"/>
    <x v="0"/>
    <x v="3"/>
    <x v="0"/>
    <x v="6"/>
    <x v="2"/>
  </r>
  <r>
    <s v="TX501169"/>
    <x v="2"/>
    <x v="0"/>
    <n v="91.4"/>
    <x v="411"/>
    <x v="45"/>
    <d v="2025-02-19T00:00:00"/>
    <x v="2"/>
    <x v="1"/>
    <x v="2"/>
    <x v="0"/>
    <x v="6"/>
    <x v="5"/>
    <x v="6"/>
    <x v="2"/>
  </r>
  <r>
    <s v="TX501170"/>
    <x v="6"/>
    <x v="7"/>
    <n v="112.9"/>
    <x v="993"/>
    <x v="45"/>
    <d v="2025-02-16T00:00:00"/>
    <x v="2"/>
    <x v="0"/>
    <x v="0"/>
    <x v="0"/>
    <x v="6"/>
    <x v="3"/>
    <x v="6"/>
    <x v="2"/>
  </r>
  <r>
    <s v="TX501171"/>
    <x v="17"/>
    <x v="11"/>
    <n v="33.700000000000003"/>
    <x v="994"/>
    <x v="45"/>
    <d v="2025-02-16T00:00:00"/>
    <x v="2"/>
    <x v="1"/>
    <x v="2"/>
    <x v="0"/>
    <x v="8"/>
    <x v="3"/>
    <x v="6"/>
    <x v="2"/>
  </r>
  <r>
    <s v="TX501172"/>
    <x v="15"/>
    <x v="7"/>
    <n v="35.299999999999997"/>
    <x v="995"/>
    <x v="45"/>
    <d v="2025-02-17T00:00:00"/>
    <x v="1"/>
    <x v="2"/>
    <x v="0"/>
    <x v="0"/>
    <x v="8"/>
    <x v="1"/>
    <x v="6"/>
    <x v="1"/>
  </r>
  <r>
    <s v="TX501173"/>
    <x v="18"/>
    <x v="2"/>
    <n v="45.6"/>
    <x v="996"/>
    <x v="45"/>
    <d v="2025-02-19T00:00:00"/>
    <x v="1"/>
    <x v="3"/>
    <x v="0"/>
    <x v="0"/>
    <x v="8"/>
    <x v="5"/>
    <x v="6"/>
    <x v="1"/>
  </r>
  <r>
    <s v="TX501174"/>
    <x v="7"/>
    <x v="3"/>
    <n v="47.1"/>
    <x v="847"/>
    <x v="45"/>
    <d v="2025-02-16T00:00:00"/>
    <x v="2"/>
    <x v="4"/>
    <x v="2"/>
    <x v="0"/>
    <x v="9"/>
    <x v="3"/>
    <x v="6"/>
    <x v="2"/>
  </r>
  <r>
    <s v="TX501175"/>
    <x v="8"/>
    <x v="9"/>
    <n v="16.2"/>
    <x v="969"/>
    <x v="45"/>
    <d v="2025-02-17T00:00:00"/>
    <x v="2"/>
    <x v="3"/>
    <x v="2"/>
    <x v="0"/>
    <x v="19"/>
    <x v="1"/>
    <x v="6"/>
    <x v="2"/>
  </r>
  <r>
    <s v="TX501176"/>
    <x v="1"/>
    <x v="1"/>
    <n v="159.69999999999999"/>
    <x v="997"/>
    <x v="46"/>
    <d v="2025-02-17T00:00:00"/>
    <x v="1"/>
    <x v="4"/>
    <x v="0"/>
    <x v="0"/>
    <x v="13"/>
    <x v="3"/>
    <x v="7"/>
    <x v="1"/>
  </r>
  <r>
    <s v="TX501177"/>
    <x v="8"/>
    <x v="12"/>
    <n v="19"/>
    <x v="998"/>
    <x v="46"/>
    <d v="2025-02-23T00:00:00"/>
    <x v="2"/>
    <x v="2"/>
    <x v="2"/>
    <x v="0"/>
    <x v="21"/>
    <x v="6"/>
    <x v="7"/>
    <x v="2"/>
  </r>
  <r>
    <s v="TX501178"/>
    <x v="6"/>
    <x v="13"/>
    <n v="91.1"/>
    <x v="999"/>
    <x v="46"/>
    <d v="2025-02-25T00:00:00"/>
    <x v="2"/>
    <x v="4"/>
    <x v="0"/>
    <x v="0"/>
    <x v="21"/>
    <x v="8"/>
    <x v="7"/>
    <x v="2"/>
  </r>
  <r>
    <s v="TX501179"/>
    <x v="2"/>
    <x v="9"/>
    <n v="94.1"/>
    <x v="1000"/>
    <x v="46"/>
    <d v="2025-02-19T00:00:00"/>
    <x v="0"/>
    <x v="1"/>
    <x v="1"/>
    <x v="0"/>
    <x v="21"/>
    <x v="2"/>
    <x v="7"/>
    <x v="0"/>
  </r>
  <r>
    <s v="TX501180"/>
    <x v="9"/>
    <x v="11"/>
    <n v="21.1"/>
    <x v="1001"/>
    <x v="46"/>
    <d v="2025-02-17T00:00:00"/>
    <x v="2"/>
    <x v="4"/>
    <x v="2"/>
    <x v="0"/>
    <x v="51"/>
    <x v="3"/>
    <x v="7"/>
    <x v="2"/>
  </r>
  <r>
    <s v="TX501181"/>
    <x v="8"/>
    <x v="3"/>
    <n v="15.3"/>
    <x v="1002"/>
    <x v="46"/>
    <d v="2025-02-24T00:00:00"/>
    <x v="2"/>
    <x v="2"/>
    <x v="0"/>
    <x v="0"/>
    <x v="1"/>
    <x v="9"/>
    <x v="7"/>
    <x v="2"/>
  </r>
  <r>
    <s v="TX501182"/>
    <x v="15"/>
    <x v="12"/>
    <n v="21.3"/>
    <x v="464"/>
    <x v="46"/>
    <d v="2025-02-19T00:00:00"/>
    <x v="1"/>
    <x v="1"/>
    <x v="0"/>
    <x v="0"/>
    <x v="3"/>
    <x v="2"/>
    <x v="7"/>
    <x v="1"/>
  </r>
  <r>
    <s v="TX501183"/>
    <x v="0"/>
    <x v="1"/>
    <n v="23.2"/>
    <x v="434"/>
    <x v="46"/>
    <d v="2025-02-16T00:00:00"/>
    <x v="0"/>
    <x v="3"/>
    <x v="1"/>
    <x v="0"/>
    <x v="3"/>
    <x v="7"/>
    <x v="7"/>
    <x v="0"/>
  </r>
  <r>
    <s v="TX501184"/>
    <x v="4"/>
    <x v="2"/>
    <n v="25.7"/>
    <x v="1003"/>
    <x v="46"/>
    <d v="2025-02-17T00:00:00"/>
    <x v="1"/>
    <x v="4"/>
    <x v="0"/>
    <x v="0"/>
    <x v="3"/>
    <x v="3"/>
    <x v="7"/>
    <x v="1"/>
  </r>
  <r>
    <s v="TX501185"/>
    <x v="0"/>
    <x v="11"/>
    <n v="31.6"/>
    <x v="1004"/>
    <x v="46"/>
    <d v="2025-02-18T00:00:00"/>
    <x v="2"/>
    <x v="0"/>
    <x v="0"/>
    <x v="0"/>
    <x v="3"/>
    <x v="1"/>
    <x v="7"/>
    <x v="2"/>
  </r>
  <r>
    <s v="TX501186"/>
    <x v="6"/>
    <x v="0"/>
    <n v="64.2"/>
    <x v="1005"/>
    <x v="46"/>
    <d v="2025-02-21T00:00:00"/>
    <x v="1"/>
    <x v="0"/>
    <x v="0"/>
    <x v="0"/>
    <x v="3"/>
    <x v="0"/>
    <x v="7"/>
    <x v="1"/>
  </r>
  <r>
    <s v="TX501187"/>
    <x v="8"/>
    <x v="1"/>
    <n v="55.8"/>
    <x v="1006"/>
    <x v="46"/>
    <d v="2025-02-18T00:00:00"/>
    <x v="0"/>
    <x v="0"/>
    <x v="0"/>
    <x v="0"/>
    <x v="3"/>
    <x v="1"/>
    <x v="7"/>
    <x v="0"/>
  </r>
  <r>
    <s v="TX501188"/>
    <x v="8"/>
    <x v="1"/>
    <n v="28.1"/>
    <x v="1007"/>
    <x v="46"/>
    <d v="2025-02-17T00:00:00"/>
    <x v="2"/>
    <x v="4"/>
    <x v="1"/>
    <x v="0"/>
    <x v="3"/>
    <x v="3"/>
    <x v="7"/>
    <x v="2"/>
  </r>
  <r>
    <s v="TX501189"/>
    <x v="0"/>
    <x v="1"/>
    <n v="11.6"/>
    <x v="772"/>
    <x v="46"/>
    <d v="2025-02-18T00:00:00"/>
    <x v="2"/>
    <x v="1"/>
    <x v="0"/>
    <x v="0"/>
    <x v="24"/>
    <x v="1"/>
    <x v="7"/>
    <x v="2"/>
  </r>
  <r>
    <s v="TX501190"/>
    <x v="5"/>
    <x v="2"/>
    <n v="50.4"/>
    <x v="277"/>
    <x v="46"/>
    <d v="2025-02-17T00:00:00"/>
    <x v="1"/>
    <x v="4"/>
    <x v="2"/>
    <x v="0"/>
    <x v="25"/>
    <x v="3"/>
    <x v="7"/>
    <x v="1"/>
  </r>
  <r>
    <s v="TX501191"/>
    <x v="6"/>
    <x v="13"/>
    <n v="48.3"/>
    <x v="1008"/>
    <x v="46"/>
    <d v="2025-02-20T00:00:00"/>
    <x v="2"/>
    <x v="0"/>
    <x v="0"/>
    <x v="0"/>
    <x v="25"/>
    <x v="5"/>
    <x v="7"/>
    <x v="2"/>
  </r>
  <r>
    <s v="TX501192"/>
    <x v="17"/>
    <x v="3"/>
    <n v="32.200000000000003"/>
    <x v="1009"/>
    <x v="46"/>
    <d v="2025-02-18T00:00:00"/>
    <x v="2"/>
    <x v="2"/>
    <x v="0"/>
    <x v="0"/>
    <x v="25"/>
    <x v="1"/>
    <x v="7"/>
    <x v="2"/>
  </r>
  <r>
    <s v="TX501193"/>
    <x v="7"/>
    <x v="31"/>
    <n v="48.5"/>
    <x v="1010"/>
    <x v="46"/>
    <d v="2025-02-17T00:00:00"/>
    <x v="1"/>
    <x v="0"/>
    <x v="0"/>
    <x v="0"/>
    <x v="5"/>
    <x v="3"/>
    <x v="7"/>
    <x v="1"/>
  </r>
  <r>
    <s v="TX501194"/>
    <x v="2"/>
    <x v="9"/>
    <n v="62"/>
    <x v="892"/>
    <x v="46"/>
    <d v="2025-02-19T00:00:00"/>
    <x v="2"/>
    <x v="1"/>
    <x v="0"/>
    <x v="0"/>
    <x v="6"/>
    <x v="2"/>
    <x v="7"/>
    <x v="2"/>
  </r>
  <r>
    <s v="TX501195"/>
    <x v="8"/>
    <x v="2"/>
    <n v="32.1"/>
    <x v="219"/>
    <x v="47"/>
    <d v="2025-02-19T00:00:00"/>
    <x v="1"/>
    <x v="0"/>
    <x v="0"/>
    <x v="0"/>
    <x v="6"/>
    <x v="1"/>
    <x v="7"/>
    <x v="1"/>
  </r>
  <r>
    <s v="TX501196"/>
    <x v="12"/>
    <x v="2"/>
    <n v="106.1"/>
    <x v="1011"/>
    <x v="47"/>
    <d v="2025-02-19T00:00:00"/>
    <x v="1"/>
    <x v="0"/>
    <x v="1"/>
    <x v="0"/>
    <x v="7"/>
    <x v="1"/>
    <x v="7"/>
    <x v="1"/>
  </r>
  <r>
    <s v="TX501197"/>
    <x v="10"/>
    <x v="2"/>
    <n v="23.5"/>
    <x v="1012"/>
    <x v="47"/>
    <d v="2025-02-20T00:00:00"/>
    <x v="1"/>
    <x v="0"/>
    <x v="4"/>
    <x v="0"/>
    <x v="7"/>
    <x v="2"/>
    <x v="7"/>
    <x v="1"/>
  </r>
  <r>
    <s v="TX501198"/>
    <x v="1"/>
    <x v="1"/>
    <n v="35.6"/>
    <x v="1013"/>
    <x v="47"/>
    <d v="2025-02-22T00:00:00"/>
    <x v="1"/>
    <x v="4"/>
    <x v="0"/>
    <x v="0"/>
    <x v="8"/>
    <x v="0"/>
    <x v="7"/>
    <x v="1"/>
  </r>
  <r>
    <s v="TX501199"/>
    <x v="1"/>
    <x v="1"/>
    <n v="63.5"/>
    <x v="520"/>
    <x v="47"/>
    <d v="2025-02-17T00:00:00"/>
    <x v="2"/>
    <x v="1"/>
    <x v="2"/>
    <x v="0"/>
    <x v="8"/>
    <x v="7"/>
    <x v="7"/>
    <x v="2"/>
  </r>
  <r>
    <s v="TX501200"/>
    <x v="6"/>
    <x v="3"/>
    <n v="82.9"/>
    <x v="1014"/>
    <x v="47"/>
    <d v="2025-02-22T00:00:00"/>
    <x v="2"/>
    <x v="4"/>
    <x v="0"/>
    <x v="0"/>
    <x v="9"/>
    <x v="0"/>
    <x v="7"/>
    <x v="2"/>
  </r>
  <r>
    <s v="TX501201"/>
    <x v="6"/>
    <x v="1"/>
    <n v="83.6"/>
    <x v="762"/>
    <x v="47"/>
    <d v="2025-02-22T00:00:00"/>
    <x v="2"/>
    <x v="0"/>
    <x v="0"/>
    <x v="0"/>
    <x v="11"/>
    <x v="0"/>
    <x v="7"/>
    <x v="2"/>
  </r>
  <r>
    <s v="TX501202"/>
    <x v="4"/>
    <x v="1"/>
    <n v="29.4"/>
    <x v="572"/>
    <x v="47"/>
    <d v="2025-02-17T00:00:00"/>
    <x v="2"/>
    <x v="0"/>
    <x v="1"/>
    <x v="0"/>
    <x v="30"/>
    <x v="7"/>
    <x v="7"/>
    <x v="2"/>
  </r>
  <r>
    <s v="TX501203"/>
    <x v="2"/>
    <x v="2"/>
    <n v="107.1"/>
    <x v="1015"/>
    <x v="47"/>
    <d v="2025-02-21T00:00:00"/>
    <x v="2"/>
    <x v="2"/>
    <x v="0"/>
    <x v="0"/>
    <x v="20"/>
    <x v="5"/>
    <x v="7"/>
    <x v="2"/>
  </r>
  <r>
    <s v="TX501204"/>
    <x v="2"/>
    <x v="0"/>
    <n v="62.7"/>
    <x v="1016"/>
    <x v="47"/>
    <d v="2025-02-21T00:00:00"/>
    <x v="1"/>
    <x v="1"/>
    <x v="0"/>
    <x v="0"/>
    <x v="21"/>
    <x v="5"/>
    <x v="7"/>
    <x v="1"/>
  </r>
  <r>
    <s v="TX501205"/>
    <x v="11"/>
    <x v="0"/>
    <n v="41.6"/>
    <x v="480"/>
    <x v="47"/>
    <d v="2025-02-18T00:00:00"/>
    <x v="1"/>
    <x v="0"/>
    <x v="1"/>
    <x v="0"/>
    <x v="1"/>
    <x v="3"/>
    <x v="7"/>
    <x v="1"/>
  </r>
  <r>
    <s v="TX501206"/>
    <x v="6"/>
    <x v="0"/>
    <n v="44.2"/>
    <x v="573"/>
    <x v="47"/>
    <d v="2025-02-18T00:00:00"/>
    <x v="3"/>
    <x v="0"/>
    <x v="1"/>
    <x v="0"/>
    <x v="1"/>
    <x v="3"/>
    <x v="7"/>
    <x v="3"/>
  </r>
  <r>
    <s v="TX501207"/>
    <x v="4"/>
    <x v="13"/>
    <n v="40.4"/>
    <x v="1017"/>
    <x v="47"/>
    <d v="2025-03-02T00:00:00"/>
    <x v="2"/>
    <x v="2"/>
    <x v="0"/>
    <x v="0"/>
    <x v="22"/>
    <x v="10"/>
    <x v="7"/>
    <x v="2"/>
  </r>
  <r>
    <s v="TX501208"/>
    <x v="15"/>
    <x v="13"/>
    <n v="59.6"/>
    <x v="1018"/>
    <x v="47"/>
    <d v="2025-02-18T00:00:00"/>
    <x v="2"/>
    <x v="4"/>
    <x v="0"/>
    <x v="0"/>
    <x v="34"/>
    <x v="3"/>
    <x v="7"/>
    <x v="2"/>
  </r>
  <r>
    <s v="TX501209"/>
    <x v="17"/>
    <x v="4"/>
    <n v="63.8"/>
    <x v="1019"/>
    <x v="47"/>
    <d v="2025-02-18T00:00:00"/>
    <x v="1"/>
    <x v="1"/>
    <x v="0"/>
    <x v="0"/>
    <x v="3"/>
    <x v="3"/>
    <x v="7"/>
    <x v="1"/>
  </r>
  <r>
    <s v="TX501210"/>
    <x v="9"/>
    <x v="13"/>
    <n v="30.8"/>
    <x v="827"/>
    <x v="47"/>
    <d v="2025-02-19T00:00:00"/>
    <x v="1"/>
    <x v="4"/>
    <x v="0"/>
    <x v="0"/>
    <x v="3"/>
    <x v="1"/>
    <x v="7"/>
    <x v="1"/>
  </r>
  <r>
    <s v="TX501211"/>
    <x v="1"/>
    <x v="1"/>
    <n v="41.5"/>
    <x v="470"/>
    <x v="47"/>
    <d v="2025-02-20T00:00:00"/>
    <x v="3"/>
    <x v="0"/>
    <x v="0"/>
    <x v="0"/>
    <x v="3"/>
    <x v="2"/>
    <x v="7"/>
    <x v="3"/>
  </r>
  <r>
    <s v="TX501212"/>
    <x v="10"/>
    <x v="12"/>
    <n v="44.7"/>
    <x v="1020"/>
    <x v="47"/>
    <d v="2025-02-19T00:00:00"/>
    <x v="2"/>
    <x v="2"/>
    <x v="1"/>
    <x v="0"/>
    <x v="3"/>
    <x v="1"/>
    <x v="7"/>
    <x v="2"/>
  </r>
  <r>
    <s v="TX501213"/>
    <x v="12"/>
    <x v="1"/>
    <n v="64.099999999999994"/>
    <x v="618"/>
    <x v="47"/>
    <d v="2025-02-21T00:00:00"/>
    <x v="2"/>
    <x v="1"/>
    <x v="4"/>
    <x v="0"/>
    <x v="3"/>
    <x v="5"/>
    <x v="7"/>
    <x v="2"/>
  </r>
  <r>
    <s v="TX501214"/>
    <x v="8"/>
    <x v="0"/>
    <n v="15.9"/>
    <x v="1021"/>
    <x v="47"/>
    <d v="2025-02-20T00:00:00"/>
    <x v="0"/>
    <x v="1"/>
    <x v="0"/>
    <x v="0"/>
    <x v="3"/>
    <x v="2"/>
    <x v="7"/>
    <x v="0"/>
  </r>
  <r>
    <s v="TX501215"/>
    <x v="6"/>
    <x v="1"/>
    <n v="78.7"/>
    <x v="1022"/>
    <x v="47"/>
    <d v="2025-02-17T00:00:00"/>
    <x v="2"/>
    <x v="2"/>
    <x v="1"/>
    <x v="0"/>
    <x v="3"/>
    <x v="7"/>
    <x v="7"/>
    <x v="2"/>
  </r>
  <r>
    <s v="TX501216"/>
    <x v="5"/>
    <x v="4"/>
    <n v="29.6"/>
    <x v="1023"/>
    <x v="47"/>
    <d v="2025-02-21T00:00:00"/>
    <x v="1"/>
    <x v="2"/>
    <x v="4"/>
    <x v="0"/>
    <x v="3"/>
    <x v="5"/>
    <x v="7"/>
    <x v="1"/>
  </r>
  <r>
    <s v="TX501217"/>
    <x v="8"/>
    <x v="12"/>
    <n v="21.5"/>
    <x v="1024"/>
    <x v="47"/>
    <d v="2025-02-20T00:00:00"/>
    <x v="1"/>
    <x v="1"/>
    <x v="0"/>
    <x v="0"/>
    <x v="3"/>
    <x v="2"/>
    <x v="7"/>
    <x v="1"/>
  </r>
  <r>
    <s v="TX501218"/>
    <x v="9"/>
    <x v="2"/>
    <n v="74.900000000000006"/>
    <x v="890"/>
    <x v="47"/>
    <d v="2025-02-26T00:00:00"/>
    <x v="1"/>
    <x v="3"/>
    <x v="1"/>
    <x v="0"/>
    <x v="3"/>
    <x v="8"/>
    <x v="7"/>
    <x v="1"/>
  </r>
  <r>
    <s v="TX501219"/>
    <x v="10"/>
    <x v="13"/>
    <n v="45"/>
    <x v="843"/>
    <x v="47"/>
    <d v="2025-02-22T00:00:00"/>
    <x v="2"/>
    <x v="2"/>
    <x v="0"/>
    <x v="0"/>
    <x v="3"/>
    <x v="0"/>
    <x v="7"/>
    <x v="2"/>
  </r>
  <r>
    <s v="TX501220"/>
    <x v="7"/>
    <x v="33"/>
    <n v="37.9"/>
    <x v="1025"/>
    <x v="47"/>
    <d v="2025-02-18T00:00:00"/>
    <x v="1"/>
    <x v="0"/>
    <x v="0"/>
    <x v="0"/>
    <x v="3"/>
    <x v="3"/>
    <x v="7"/>
    <x v="1"/>
  </r>
  <r>
    <s v="TX501221"/>
    <x v="6"/>
    <x v="2"/>
    <n v="56.6"/>
    <x v="1026"/>
    <x v="47"/>
    <d v="2025-02-18T00:00:00"/>
    <x v="1"/>
    <x v="3"/>
    <x v="0"/>
    <x v="0"/>
    <x v="3"/>
    <x v="3"/>
    <x v="7"/>
    <x v="1"/>
  </r>
  <r>
    <s v="TX501222"/>
    <x v="3"/>
    <x v="15"/>
    <n v="84.5"/>
    <x v="1027"/>
    <x v="47"/>
    <d v="2025-02-20T00:00:00"/>
    <x v="2"/>
    <x v="1"/>
    <x v="4"/>
    <x v="0"/>
    <x v="3"/>
    <x v="2"/>
    <x v="7"/>
    <x v="2"/>
  </r>
  <r>
    <s v="TX501223"/>
    <x v="2"/>
    <x v="9"/>
    <n v="105.4"/>
    <x v="1028"/>
    <x v="47"/>
    <d v="2025-02-19T00:00:00"/>
    <x v="2"/>
    <x v="1"/>
    <x v="1"/>
    <x v="0"/>
    <x v="3"/>
    <x v="1"/>
    <x v="7"/>
    <x v="2"/>
  </r>
  <r>
    <s v="TX501224"/>
    <x v="18"/>
    <x v="3"/>
    <n v="39.4"/>
    <x v="1029"/>
    <x v="48"/>
    <d v="2025-02-18T00:00:00"/>
    <x v="1"/>
    <x v="1"/>
    <x v="0"/>
    <x v="0"/>
    <x v="37"/>
    <x v="7"/>
    <x v="7"/>
    <x v="1"/>
  </r>
  <r>
    <s v="TX501225"/>
    <x v="19"/>
    <x v="2"/>
    <n v="38"/>
    <x v="717"/>
    <x v="48"/>
    <d v="2025-02-21T00:00:00"/>
    <x v="1"/>
    <x v="4"/>
    <x v="1"/>
    <x v="0"/>
    <x v="6"/>
    <x v="2"/>
    <x v="7"/>
    <x v="1"/>
  </r>
  <r>
    <s v="TX501226"/>
    <x v="17"/>
    <x v="12"/>
    <n v="42.5"/>
    <x v="393"/>
    <x v="48"/>
    <d v="2025-02-20T00:00:00"/>
    <x v="0"/>
    <x v="0"/>
    <x v="0"/>
    <x v="0"/>
    <x v="6"/>
    <x v="1"/>
    <x v="7"/>
    <x v="0"/>
  </r>
  <r>
    <s v="TX501227"/>
    <x v="15"/>
    <x v="0"/>
    <n v="62.3"/>
    <x v="1030"/>
    <x v="48"/>
    <d v="2025-02-27T00:00:00"/>
    <x v="1"/>
    <x v="0"/>
    <x v="2"/>
    <x v="0"/>
    <x v="6"/>
    <x v="8"/>
    <x v="7"/>
    <x v="1"/>
  </r>
  <r>
    <s v="TX501228"/>
    <x v="6"/>
    <x v="9"/>
    <n v="49.1"/>
    <x v="1031"/>
    <x v="48"/>
    <d v="2025-02-20T00:00:00"/>
    <x v="2"/>
    <x v="1"/>
    <x v="2"/>
    <x v="0"/>
    <x v="7"/>
    <x v="1"/>
    <x v="7"/>
    <x v="2"/>
  </r>
  <r>
    <s v="TX501229"/>
    <x v="3"/>
    <x v="1"/>
    <n v="30.5"/>
    <x v="170"/>
    <x v="48"/>
    <d v="2025-02-21T00:00:00"/>
    <x v="1"/>
    <x v="0"/>
    <x v="2"/>
    <x v="0"/>
    <x v="8"/>
    <x v="2"/>
    <x v="7"/>
    <x v="1"/>
  </r>
  <r>
    <s v="TX501230"/>
    <x v="2"/>
    <x v="1"/>
    <n v="154.80000000000001"/>
    <x v="141"/>
    <x v="48"/>
    <d v="2025-02-21T00:00:00"/>
    <x v="2"/>
    <x v="1"/>
    <x v="4"/>
    <x v="0"/>
    <x v="8"/>
    <x v="2"/>
    <x v="7"/>
    <x v="2"/>
  </r>
  <r>
    <s v="TX501231"/>
    <x v="6"/>
    <x v="0"/>
    <n v="45"/>
    <x v="583"/>
    <x v="48"/>
    <d v="2025-02-22T00:00:00"/>
    <x v="1"/>
    <x v="3"/>
    <x v="1"/>
    <x v="0"/>
    <x v="8"/>
    <x v="5"/>
    <x v="7"/>
    <x v="1"/>
  </r>
  <r>
    <s v="TX501232"/>
    <x v="0"/>
    <x v="3"/>
    <n v="15.3"/>
    <x v="1002"/>
    <x v="48"/>
    <d v="2025-02-19T00:00:00"/>
    <x v="1"/>
    <x v="0"/>
    <x v="2"/>
    <x v="0"/>
    <x v="8"/>
    <x v="3"/>
    <x v="7"/>
    <x v="1"/>
  </r>
  <r>
    <s v="TX501233"/>
    <x v="2"/>
    <x v="5"/>
    <n v="88.6"/>
    <x v="1032"/>
    <x v="48"/>
    <d v="2025-02-21T00:00:00"/>
    <x v="2"/>
    <x v="0"/>
    <x v="4"/>
    <x v="0"/>
    <x v="17"/>
    <x v="2"/>
    <x v="7"/>
    <x v="2"/>
  </r>
  <r>
    <s v="TX501234"/>
    <x v="9"/>
    <x v="1"/>
    <n v="49.7"/>
    <x v="1033"/>
    <x v="48"/>
    <d v="2025-02-20T00:00:00"/>
    <x v="3"/>
    <x v="4"/>
    <x v="0"/>
    <x v="0"/>
    <x v="10"/>
    <x v="1"/>
    <x v="7"/>
    <x v="3"/>
  </r>
  <r>
    <s v="TX501235"/>
    <x v="10"/>
    <x v="0"/>
    <n v="29"/>
    <x v="1034"/>
    <x v="48"/>
    <d v="2025-02-19T00:00:00"/>
    <x v="1"/>
    <x v="0"/>
    <x v="0"/>
    <x v="0"/>
    <x v="11"/>
    <x v="3"/>
    <x v="7"/>
    <x v="1"/>
  </r>
  <r>
    <s v="TX501236"/>
    <x v="1"/>
    <x v="0"/>
    <n v="60.7"/>
    <x v="1035"/>
    <x v="48"/>
    <d v="2025-02-19T00:00:00"/>
    <x v="3"/>
    <x v="0"/>
    <x v="1"/>
    <x v="0"/>
    <x v="11"/>
    <x v="3"/>
    <x v="7"/>
    <x v="3"/>
  </r>
  <r>
    <s v="TX501237"/>
    <x v="17"/>
    <x v="12"/>
    <n v="87.4"/>
    <x v="1036"/>
    <x v="48"/>
    <d v="2025-02-20T00:00:00"/>
    <x v="0"/>
    <x v="0"/>
    <x v="0"/>
    <x v="0"/>
    <x v="11"/>
    <x v="1"/>
    <x v="7"/>
    <x v="0"/>
  </r>
  <r>
    <s v="TX501238"/>
    <x v="4"/>
    <x v="3"/>
    <n v="44.5"/>
    <x v="1037"/>
    <x v="48"/>
    <d v="2025-02-22T00:00:00"/>
    <x v="2"/>
    <x v="2"/>
    <x v="2"/>
    <x v="0"/>
    <x v="19"/>
    <x v="5"/>
    <x v="7"/>
    <x v="2"/>
  </r>
  <r>
    <s v="TX501239"/>
    <x v="2"/>
    <x v="0"/>
    <n v="141"/>
    <x v="1038"/>
    <x v="48"/>
    <d v="2025-02-19T00:00:00"/>
    <x v="1"/>
    <x v="4"/>
    <x v="2"/>
    <x v="0"/>
    <x v="19"/>
    <x v="3"/>
    <x v="7"/>
    <x v="1"/>
  </r>
  <r>
    <s v="TX501240"/>
    <x v="0"/>
    <x v="2"/>
    <n v="16.7"/>
    <x v="1039"/>
    <x v="48"/>
    <d v="2025-02-26T00:00:00"/>
    <x v="2"/>
    <x v="0"/>
    <x v="0"/>
    <x v="0"/>
    <x v="20"/>
    <x v="9"/>
    <x v="7"/>
    <x v="2"/>
  </r>
  <r>
    <s v="TX501241"/>
    <x v="1"/>
    <x v="1"/>
    <n v="77.5"/>
    <x v="1040"/>
    <x v="48"/>
    <d v="2025-02-19T00:00:00"/>
    <x v="0"/>
    <x v="2"/>
    <x v="2"/>
    <x v="0"/>
    <x v="13"/>
    <x v="3"/>
    <x v="7"/>
    <x v="0"/>
  </r>
  <r>
    <s v="TX501242"/>
    <x v="2"/>
    <x v="1"/>
    <n v="163"/>
    <x v="1041"/>
    <x v="48"/>
    <d v="2025-02-24T00:00:00"/>
    <x v="2"/>
    <x v="4"/>
    <x v="0"/>
    <x v="0"/>
    <x v="21"/>
    <x v="4"/>
    <x v="7"/>
    <x v="2"/>
  </r>
  <r>
    <s v="TX501243"/>
    <x v="4"/>
    <x v="11"/>
    <n v="21.4"/>
    <x v="1042"/>
    <x v="48"/>
    <d v="2025-02-21T00:00:00"/>
    <x v="2"/>
    <x v="0"/>
    <x v="0"/>
    <x v="0"/>
    <x v="51"/>
    <x v="2"/>
    <x v="7"/>
    <x v="2"/>
  </r>
  <r>
    <s v="TX501244"/>
    <x v="10"/>
    <x v="5"/>
    <n v="31"/>
    <x v="992"/>
    <x v="48"/>
    <d v="2025-02-20T00:00:00"/>
    <x v="2"/>
    <x v="3"/>
    <x v="2"/>
    <x v="0"/>
    <x v="1"/>
    <x v="1"/>
    <x v="7"/>
    <x v="2"/>
  </r>
  <r>
    <s v="TX501245"/>
    <x v="7"/>
    <x v="1"/>
    <n v="34.299999999999997"/>
    <x v="1043"/>
    <x v="48"/>
    <d v="2025-02-20T00:00:00"/>
    <x v="2"/>
    <x v="0"/>
    <x v="3"/>
    <x v="0"/>
    <x v="1"/>
    <x v="1"/>
    <x v="7"/>
    <x v="2"/>
  </r>
  <r>
    <s v="TX501246"/>
    <x v="17"/>
    <x v="9"/>
    <n v="48.2"/>
    <x v="1044"/>
    <x v="48"/>
    <d v="2025-02-19T00:00:00"/>
    <x v="1"/>
    <x v="1"/>
    <x v="1"/>
    <x v="0"/>
    <x v="2"/>
    <x v="3"/>
    <x v="7"/>
    <x v="1"/>
  </r>
  <r>
    <s v="TX501247"/>
    <x v="10"/>
    <x v="0"/>
    <n v="51.4"/>
    <x v="1045"/>
    <x v="48"/>
    <d v="2025-02-19T00:00:00"/>
    <x v="1"/>
    <x v="0"/>
    <x v="0"/>
    <x v="0"/>
    <x v="3"/>
    <x v="3"/>
    <x v="7"/>
    <x v="1"/>
  </r>
  <r>
    <s v="TX501248"/>
    <x v="2"/>
    <x v="9"/>
    <n v="117.2"/>
    <x v="1046"/>
    <x v="48"/>
    <d v="2025-02-21T00:00:00"/>
    <x v="2"/>
    <x v="4"/>
    <x v="4"/>
    <x v="0"/>
    <x v="3"/>
    <x v="2"/>
    <x v="7"/>
    <x v="2"/>
  </r>
  <r>
    <s v="TX501249"/>
    <x v="8"/>
    <x v="0"/>
    <n v="38.1"/>
    <x v="220"/>
    <x v="48"/>
    <d v="2025-02-18T00:00:00"/>
    <x v="1"/>
    <x v="4"/>
    <x v="1"/>
    <x v="0"/>
    <x v="3"/>
    <x v="7"/>
    <x v="7"/>
    <x v="1"/>
  </r>
  <r>
    <s v="TX501250"/>
    <x v="0"/>
    <x v="1"/>
    <n v="44.1"/>
    <x v="1047"/>
    <x v="48"/>
    <d v="2025-02-20T00:00:00"/>
    <x v="2"/>
    <x v="2"/>
    <x v="0"/>
    <x v="0"/>
    <x v="3"/>
    <x v="1"/>
    <x v="7"/>
    <x v="2"/>
  </r>
  <r>
    <s v="TX501251"/>
    <x v="15"/>
    <x v="12"/>
    <n v="80.5"/>
    <x v="310"/>
    <x v="48"/>
    <d v="2025-02-23T00:00:00"/>
    <x v="1"/>
    <x v="0"/>
    <x v="0"/>
    <x v="0"/>
    <x v="3"/>
    <x v="0"/>
    <x v="7"/>
    <x v="1"/>
  </r>
  <r>
    <s v="TX501252"/>
    <x v="18"/>
    <x v="12"/>
    <n v="33.6"/>
    <x v="1048"/>
    <x v="48"/>
    <d v="2025-02-23T00:00:00"/>
    <x v="0"/>
    <x v="0"/>
    <x v="2"/>
    <x v="0"/>
    <x v="3"/>
    <x v="0"/>
    <x v="7"/>
    <x v="0"/>
  </r>
  <r>
    <s v="TX501253"/>
    <x v="9"/>
    <x v="11"/>
    <n v="41.8"/>
    <x v="82"/>
    <x v="48"/>
    <d v="2025-02-19T00:00:00"/>
    <x v="2"/>
    <x v="0"/>
    <x v="1"/>
    <x v="0"/>
    <x v="3"/>
    <x v="3"/>
    <x v="7"/>
    <x v="2"/>
  </r>
  <r>
    <s v="TX501254"/>
    <x v="1"/>
    <x v="1"/>
    <n v="106.2"/>
    <x v="230"/>
    <x v="48"/>
    <d v="2025-02-18T00:00:00"/>
    <x v="2"/>
    <x v="4"/>
    <x v="2"/>
    <x v="0"/>
    <x v="3"/>
    <x v="7"/>
    <x v="7"/>
    <x v="2"/>
  </r>
  <r>
    <s v="TX501255"/>
    <x v="1"/>
    <x v="1"/>
    <n v="52.6"/>
    <x v="1049"/>
    <x v="48"/>
    <d v="2025-02-19T00:00:00"/>
    <x v="2"/>
    <x v="0"/>
    <x v="2"/>
    <x v="0"/>
    <x v="5"/>
    <x v="3"/>
    <x v="7"/>
    <x v="2"/>
  </r>
  <r>
    <s v="TX501256"/>
    <x v="11"/>
    <x v="3"/>
    <n v="68.5"/>
    <x v="1050"/>
    <x v="48"/>
    <d v="2025-02-19T00:00:00"/>
    <x v="2"/>
    <x v="1"/>
    <x v="0"/>
    <x v="0"/>
    <x v="5"/>
    <x v="3"/>
    <x v="7"/>
    <x v="2"/>
  </r>
  <r>
    <s v="TX501257"/>
    <x v="1"/>
    <x v="1"/>
    <n v="55.6"/>
    <x v="622"/>
    <x v="48"/>
    <d v="2025-02-20T00:00:00"/>
    <x v="1"/>
    <x v="1"/>
    <x v="2"/>
    <x v="0"/>
    <x v="6"/>
    <x v="1"/>
    <x v="7"/>
    <x v="1"/>
  </r>
  <r>
    <s v="TX501258"/>
    <x v="2"/>
    <x v="2"/>
    <n v="134.9"/>
    <x v="1051"/>
    <x v="48"/>
    <d v="2025-02-19T00:00:00"/>
    <x v="1"/>
    <x v="1"/>
    <x v="1"/>
    <x v="0"/>
    <x v="6"/>
    <x v="3"/>
    <x v="7"/>
    <x v="1"/>
  </r>
  <r>
    <s v="TX501259"/>
    <x v="10"/>
    <x v="9"/>
    <n v="42.6"/>
    <x v="226"/>
    <x v="48"/>
    <d v="2025-02-19T00:00:00"/>
    <x v="1"/>
    <x v="0"/>
    <x v="0"/>
    <x v="0"/>
    <x v="6"/>
    <x v="3"/>
    <x v="7"/>
    <x v="1"/>
  </r>
  <r>
    <s v="TX501260"/>
    <x v="7"/>
    <x v="9"/>
    <n v="60.6"/>
    <x v="1052"/>
    <x v="48"/>
    <d v="2025-02-20T00:00:00"/>
    <x v="1"/>
    <x v="4"/>
    <x v="0"/>
    <x v="0"/>
    <x v="6"/>
    <x v="1"/>
    <x v="7"/>
    <x v="1"/>
  </r>
  <r>
    <s v="TX501261"/>
    <x v="8"/>
    <x v="1"/>
    <n v="43.5"/>
    <x v="1053"/>
    <x v="48"/>
    <d v="2025-02-19T00:00:00"/>
    <x v="1"/>
    <x v="4"/>
    <x v="0"/>
    <x v="0"/>
    <x v="7"/>
    <x v="3"/>
    <x v="7"/>
    <x v="1"/>
  </r>
  <r>
    <s v="TX501262"/>
    <x v="2"/>
    <x v="1"/>
    <n v="187.1"/>
    <x v="1054"/>
    <x v="48"/>
    <d v="2025-02-19T00:00:00"/>
    <x v="1"/>
    <x v="1"/>
    <x v="2"/>
    <x v="0"/>
    <x v="8"/>
    <x v="3"/>
    <x v="7"/>
    <x v="1"/>
  </r>
  <r>
    <s v="TX501263"/>
    <x v="9"/>
    <x v="2"/>
    <n v="32"/>
    <x v="854"/>
    <x v="48"/>
    <d v="2025-02-20T00:00:00"/>
    <x v="1"/>
    <x v="0"/>
    <x v="0"/>
    <x v="0"/>
    <x v="8"/>
    <x v="1"/>
    <x v="7"/>
    <x v="1"/>
  </r>
  <r>
    <s v="TX501264"/>
    <x v="9"/>
    <x v="1"/>
    <n v="110.8"/>
    <x v="1055"/>
    <x v="48"/>
    <d v="2025-02-18T00:00:00"/>
    <x v="1"/>
    <x v="0"/>
    <x v="2"/>
    <x v="0"/>
    <x v="8"/>
    <x v="7"/>
    <x v="7"/>
    <x v="1"/>
  </r>
  <r>
    <s v="TX501265"/>
    <x v="10"/>
    <x v="15"/>
    <n v="36.1"/>
    <x v="1056"/>
    <x v="48"/>
    <d v="2025-02-21T00:00:00"/>
    <x v="2"/>
    <x v="0"/>
    <x v="1"/>
    <x v="0"/>
    <x v="8"/>
    <x v="2"/>
    <x v="7"/>
    <x v="2"/>
  </r>
  <r>
    <s v="TX501266"/>
    <x v="0"/>
    <x v="0"/>
    <n v="24.1"/>
    <x v="1057"/>
    <x v="48"/>
    <d v="2025-02-20T00:00:00"/>
    <x v="2"/>
    <x v="4"/>
    <x v="2"/>
    <x v="0"/>
    <x v="8"/>
    <x v="1"/>
    <x v="7"/>
    <x v="2"/>
  </r>
  <r>
    <s v="TX501267"/>
    <x v="19"/>
    <x v="2"/>
    <n v="30.5"/>
    <x v="1058"/>
    <x v="48"/>
    <d v="2025-02-20T00:00:00"/>
    <x v="1"/>
    <x v="1"/>
    <x v="0"/>
    <x v="0"/>
    <x v="8"/>
    <x v="1"/>
    <x v="7"/>
    <x v="1"/>
  </r>
  <r>
    <s v="TX501268"/>
    <x v="18"/>
    <x v="13"/>
    <n v="68.3"/>
    <x v="1059"/>
    <x v="48"/>
    <d v="2025-02-21T00:00:00"/>
    <x v="1"/>
    <x v="0"/>
    <x v="0"/>
    <x v="0"/>
    <x v="8"/>
    <x v="2"/>
    <x v="7"/>
    <x v="1"/>
  </r>
  <r>
    <s v="TX501269"/>
    <x v="7"/>
    <x v="2"/>
    <n v="43.3"/>
    <x v="1060"/>
    <x v="48"/>
    <d v="2025-02-22T00:00:00"/>
    <x v="2"/>
    <x v="0"/>
    <x v="0"/>
    <x v="0"/>
    <x v="17"/>
    <x v="5"/>
    <x v="7"/>
    <x v="2"/>
  </r>
  <r>
    <s v="TX501270"/>
    <x v="3"/>
    <x v="0"/>
    <n v="101.7"/>
    <x v="530"/>
    <x v="48"/>
    <d v="2025-02-21T00:00:00"/>
    <x v="2"/>
    <x v="0"/>
    <x v="1"/>
    <x v="0"/>
    <x v="17"/>
    <x v="2"/>
    <x v="7"/>
    <x v="2"/>
  </r>
  <r>
    <s v="TX501271"/>
    <x v="11"/>
    <x v="1"/>
    <n v="54.2"/>
    <x v="1061"/>
    <x v="48"/>
    <d v="2025-02-19T00:00:00"/>
    <x v="2"/>
    <x v="0"/>
    <x v="1"/>
    <x v="0"/>
    <x v="17"/>
    <x v="3"/>
    <x v="7"/>
    <x v="2"/>
  </r>
  <r>
    <s v="TX501272"/>
    <x v="16"/>
    <x v="1"/>
    <n v="51"/>
    <x v="1062"/>
    <x v="48"/>
    <d v="2025-02-18T00:00:00"/>
    <x v="1"/>
    <x v="1"/>
    <x v="0"/>
    <x v="0"/>
    <x v="26"/>
    <x v="7"/>
    <x v="7"/>
    <x v="1"/>
  </r>
  <r>
    <s v="TX501273"/>
    <x v="4"/>
    <x v="1"/>
    <n v="23.1"/>
    <x v="1063"/>
    <x v="48"/>
    <d v="2025-02-21T00:00:00"/>
    <x v="1"/>
    <x v="1"/>
    <x v="0"/>
    <x v="0"/>
    <x v="10"/>
    <x v="2"/>
    <x v="7"/>
    <x v="1"/>
  </r>
  <r>
    <s v="TX501274"/>
    <x v="12"/>
    <x v="13"/>
    <n v="60.1"/>
    <x v="116"/>
    <x v="48"/>
    <d v="2025-02-18T00:00:00"/>
    <x v="2"/>
    <x v="3"/>
    <x v="0"/>
    <x v="0"/>
    <x v="11"/>
    <x v="7"/>
    <x v="7"/>
    <x v="2"/>
  </r>
  <r>
    <s v="TX501275"/>
    <x v="2"/>
    <x v="3"/>
    <n v="87.5"/>
    <x v="1064"/>
    <x v="48"/>
    <d v="2025-02-20T00:00:00"/>
    <x v="2"/>
    <x v="0"/>
    <x v="1"/>
    <x v="0"/>
    <x v="11"/>
    <x v="1"/>
    <x v="7"/>
    <x v="2"/>
  </r>
  <r>
    <s v="TX501276"/>
    <x v="1"/>
    <x v="2"/>
    <n v="51"/>
    <x v="1065"/>
    <x v="48"/>
    <d v="2025-02-19T00:00:00"/>
    <x v="2"/>
    <x v="1"/>
    <x v="0"/>
    <x v="0"/>
    <x v="11"/>
    <x v="3"/>
    <x v="7"/>
    <x v="2"/>
  </r>
  <r>
    <s v="TX501277"/>
    <x v="8"/>
    <x v="12"/>
    <n v="19.2"/>
    <x v="714"/>
    <x v="48"/>
    <d v="2025-02-20T00:00:00"/>
    <x v="2"/>
    <x v="0"/>
    <x v="0"/>
    <x v="0"/>
    <x v="11"/>
    <x v="1"/>
    <x v="7"/>
    <x v="2"/>
  </r>
  <r>
    <s v="TX501278"/>
    <x v="5"/>
    <x v="8"/>
    <n v="26.5"/>
    <x v="1066"/>
    <x v="48"/>
    <d v="2025-02-19T00:00:00"/>
    <x v="0"/>
    <x v="3"/>
    <x v="2"/>
    <x v="0"/>
    <x v="11"/>
    <x v="3"/>
    <x v="7"/>
    <x v="0"/>
  </r>
  <r>
    <s v="TX501279"/>
    <x v="2"/>
    <x v="1"/>
    <n v="220.3"/>
    <x v="1067"/>
    <x v="48"/>
    <d v="2025-02-19T00:00:00"/>
    <x v="2"/>
    <x v="1"/>
    <x v="4"/>
    <x v="0"/>
    <x v="53"/>
    <x v="3"/>
    <x v="7"/>
    <x v="2"/>
  </r>
  <r>
    <s v="TX501280"/>
    <x v="8"/>
    <x v="2"/>
    <n v="45.7"/>
    <x v="1068"/>
    <x v="48"/>
    <d v="2025-02-19T00:00:00"/>
    <x v="2"/>
    <x v="4"/>
    <x v="0"/>
    <x v="0"/>
    <x v="30"/>
    <x v="3"/>
    <x v="7"/>
    <x v="2"/>
  </r>
  <r>
    <s v="TX501281"/>
    <x v="5"/>
    <x v="9"/>
    <n v="47.1"/>
    <x v="1069"/>
    <x v="48"/>
    <d v="2025-02-22T00:00:00"/>
    <x v="2"/>
    <x v="3"/>
    <x v="0"/>
    <x v="0"/>
    <x v="13"/>
    <x v="5"/>
    <x v="7"/>
    <x v="2"/>
  </r>
  <r>
    <s v="TX501282"/>
    <x v="1"/>
    <x v="9"/>
    <n v="81.7"/>
    <x v="856"/>
    <x v="48"/>
    <d v="2025-02-19T00:00:00"/>
    <x v="2"/>
    <x v="0"/>
    <x v="2"/>
    <x v="0"/>
    <x v="21"/>
    <x v="3"/>
    <x v="7"/>
    <x v="2"/>
  </r>
  <r>
    <s v="TX501283"/>
    <x v="6"/>
    <x v="7"/>
    <n v="97.8"/>
    <x v="1070"/>
    <x v="48"/>
    <d v="2025-02-18T00:00:00"/>
    <x v="1"/>
    <x v="1"/>
    <x v="1"/>
    <x v="0"/>
    <x v="21"/>
    <x v="7"/>
    <x v="7"/>
    <x v="1"/>
  </r>
  <r>
    <s v="TX501284"/>
    <x v="6"/>
    <x v="2"/>
    <n v="42.4"/>
    <x v="1071"/>
    <x v="48"/>
    <d v="2025-02-19T00:00:00"/>
    <x v="2"/>
    <x v="0"/>
    <x v="2"/>
    <x v="0"/>
    <x v="54"/>
    <x v="3"/>
    <x v="7"/>
    <x v="2"/>
  </r>
  <r>
    <s v="TX501285"/>
    <x v="2"/>
    <x v="7"/>
    <n v="74.5"/>
    <x v="1072"/>
    <x v="48"/>
    <d v="2025-02-19T00:00:00"/>
    <x v="1"/>
    <x v="2"/>
    <x v="1"/>
    <x v="0"/>
    <x v="1"/>
    <x v="3"/>
    <x v="7"/>
    <x v="1"/>
  </r>
  <r>
    <s v="TX501286"/>
    <x v="17"/>
    <x v="13"/>
    <n v="47.4"/>
    <x v="1073"/>
    <x v="48"/>
    <d v="2025-02-19T00:00:00"/>
    <x v="1"/>
    <x v="1"/>
    <x v="0"/>
    <x v="0"/>
    <x v="1"/>
    <x v="3"/>
    <x v="7"/>
    <x v="1"/>
  </r>
  <r>
    <s v="TX501287"/>
    <x v="14"/>
    <x v="2"/>
    <n v="17.3"/>
    <x v="1074"/>
    <x v="49"/>
    <d v="2025-02-22T00:00:00"/>
    <x v="1"/>
    <x v="2"/>
    <x v="2"/>
    <x v="0"/>
    <x v="1"/>
    <x v="2"/>
    <x v="7"/>
    <x v="1"/>
  </r>
  <r>
    <s v="TX501288"/>
    <x v="12"/>
    <x v="12"/>
    <n v="77.900000000000006"/>
    <x v="1075"/>
    <x v="49"/>
    <d v="2025-02-20T00:00:00"/>
    <x v="1"/>
    <x v="1"/>
    <x v="0"/>
    <x v="0"/>
    <x v="2"/>
    <x v="3"/>
    <x v="7"/>
    <x v="1"/>
  </r>
  <r>
    <s v="TX501289"/>
    <x v="8"/>
    <x v="0"/>
    <n v="29.1"/>
    <x v="1076"/>
    <x v="49"/>
    <d v="2025-02-22T00:00:00"/>
    <x v="1"/>
    <x v="0"/>
    <x v="2"/>
    <x v="0"/>
    <x v="50"/>
    <x v="2"/>
    <x v="7"/>
    <x v="1"/>
  </r>
  <r>
    <s v="TX501290"/>
    <x v="8"/>
    <x v="0"/>
    <n v="49"/>
    <x v="268"/>
    <x v="49"/>
    <d v="2025-02-20T00:00:00"/>
    <x v="1"/>
    <x v="1"/>
    <x v="0"/>
    <x v="0"/>
    <x v="3"/>
    <x v="3"/>
    <x v="7"/>
    <x v="1"/>
  </r>
  <r>
    <s v="TX501291"/>
    <x v="8"/>
    <x v="13"/>
    <n v="21.1"/>
    <x v="1077"/>
    <x v="49"/>
    <d v="2025-02-26T00:00:00"/>
    <x v="1"/>
    <x v="0"/>
    <x v="2"/>
    <x v="0"/>
    <x v="3"/>
    <x v="6"/>
    <x v="7"/>
    <x v="1"/>
  </r>
  <r>
    <s v="TX501292"/>
    <x v="4"/>
    <x v="10"/>
    <n v="36.9"/>
    <x v="1078"/>
    <x v="49"/>
    <d v="2025-02-19T00:00:00"/>
    <x v="2"/>
    <x v="0"/>
    <x v="0"/>
    <x v="0"/>
    <x v="3"/>
    <x v="7"/>
    <x v="7"/>
    <x v="2"/>
  </r>
  <r>
    <s v="TX501293"/>
    <x v="1"/>
    <x v="7"/>
    <n v="92.6"/>
    <x v="1079"/>
    <x v="49"/>
    <d v="2025-02-24T00:00:00"/>
    <x v="1"/>
    <x v="4"/>
    <x v="2"/>
    <x v="0"/>
    <x v="3"/>
    <x v="0"/>
    <x v="7"/>
    <x v="1"/>
  </r>
  <r>
    <s v="TX501294"/>
    <x v="10"/>
    <x v="1"/>
    <n v="38"/>
    <x v="998"/>
    <x v="49"/>
    <d v="2025-02-20T00:00:00"/>
    <x v="1"/>
    <x v="1"/>
    <x v="1"/>
    <x v="0"/>
    <x v="3"/>
    <x v="3"/>
    <x v="7"/>
    <x v="1"/>
  </r>
  <r>
    <s v="TX501295"/>
    <x v="5"/>
    <x v="2"/>
    <n v="54.8"/>
    <x v="1080"/>
    <x v="49"/>
    <d v="2025-02-23T00:00:00"/>
    <x v="0"/>
    <x v="0"/>
    <x v="1"/>
    <x v="0"/>
    <x v="3"/>
    <x v="5"/>
    <x v="7"/>
    <x v="0"/>
  </r>
  <r>
    <s v="TX501296"/>
    <x v="10"/>
    <x v="4"/>
    <n v="56.8"/>
    <x v="1081"/>
    <x v="49"/>
    <d v="2025-02-21T00:00:00"/>
    <x v="1"/>
    <x v="1"/>
    <x v="0"/>
    <x v="0"/>
    <x v="3"/>
    <x v="1"/>
    <x v="7"/>
    <x v="1"/>
  </r>
  <r>
    <s v="TX501297"/>
    <x v="11"/>
    <x v="40"/>
    <n v="47.2"/>
    <x v="1082"/>
    <x v="49"/>
    <d v="2025-02-22T00:00:00"/>
    <x v="2"/>
    <x v="1"/>
    <x v="0"/>
    <x v="0"/>
    <x v="3"/>
    <x v="2"/>
    <x v="7"/>
    <x v="2"/>
  </r>
  <r>
    <s v="TX501298"/>
    <x v="7"/>
    <x v="13"/>
    <n v="45.1"/>
    <x v="1083"/>
    <x v="49"/>
    <d v="2025-02-20T00:00:00"/>
    <x v="2"/>
    <x v="2"/>
    <x v="0"/>
    <x v="0"/>
    <x v="43"/>
    <x v="3"/>
    <x v="7"/>
    <x v="2"/>
  </r>
  <r>
    <s v="TX501299"/>
    <x v="4"/>
    <x v="4"/>
    <n v="25.2"/>
    <x v="982"/>
    <x v="49"/>
    <d v="2025-02-24T00:00:00"/>
    <x v="2"/>
    <x v="2"/>
    <x v="0"/>
    <x v="0"/>
    <x v="16"/>
    <x v="0"/>
    <x v="7"/>
    <x v="2"/>
  </r>
  <r>
    <s v="TX501300"/>
    <x v="8"/>
    <x v="0"/>
    <n v="22"/>
    <x v="1084"/>
    <x v="49"/>
    <d v="2025-02-20T00:00:00"/>
    <x v="2"/>
    <x v="0"/>
    <x v="0"/>
    <x v="0"/>
    <x v="5"/>
    <x v="3"/>
    <x v="7"/>
    <x v="2"/>
  </r>
  <r>
    <s v="TX501301"/>
    <x v="6"/>
    <x v="1"/>
    <n v="42.2"/>
    <x v="533"/>
    <x v="49"/>
    <d v="2025-02-20T00:00:00"/>
    <x v="2"/>
    <x v="1"/>
    <x v="1"/>
    <x v="0"/>
    <x v="23"/>
    <x v="3"/>
    <x v="7"/>
    <x v="2"/>
  </r>
  <r>
    <s v="TX501302"/>
    <x v="13"/>
    <x v="2"/>
    <n v="20.5"/>
    <x v="1085"/>
    <x v="49"/>
    <d v="2025-02-20T00:00:00"/>
    <x v="1"/>
    <x v="0"/>
    <x v="1"/>
    <x v="0"/>
    <x v="6"/>
    <x v="3"/>
    <x v="7"/>
    <x v="1"/>
  </r>
  <r>
    <s v="TX501303"/>
    <x v="2"/>
    <x v="0"/>
    <n v="190.4"/>
    <x v="1086"/>
    <x v="49"/>
    <d v="2025-02-24T00:00:00"/>
    <x v="1"/>
    <x v="1"/>
    <x v="4"/>
    <x v="0"/>
    <x v="6"/>
    <x v="0"/>
    <x v="7"/>
    <x v="1"/>
  </r>
  <r>
    <s v="TX501304"/>
    <x v="2"/>
    <x v="0"/>
    <n v="121.9"/>
    <x v="1087"/>
    <x v="49"/>
    <d v="2025-02-21T00:00:00"/>
    <x v="2"/>
    <x v="1"/>
    <x v="2"/>
    <x v="0"/>
    <x v="6"/>
    <x v="1"/>
    <x v="7"/>
    <x v="2"/>
  </r>
  <r>
    <s v="TX501305"/>
    <x v="2"/>
    <x v="13"/>
    <n v="149.19999999999999"/>
    <x v="1088"/>
    <x v="49"/>
    <d v="2025-02-20T00:00:00"/>
    <x v="2"/>
    <x v="2"/>
    <x v="2"/>
    <x v="0"/>
    <x v="7"/>
    <x v="3"/>
    <x v="7"/>
    <x v="2"/>
  </r>
  <r>
    <s v="TX501306"/>
    <x v="2"/>
    <x v="0"/>
    <n v="54.1"/>
    <x v="1089"/>
    <x v="49"/>
    <d v="2025-02-28T00:00:00"/>
    <x v="2"/>
    <x v="2"/>
    <x v="2"/>
    <x v="0"/>
    <x v="7"/>
    <x v="8"/>
    <x v="7"/>
    <x v="2"/>
  </r>
  <r>
    <s v="TX501307"/>
    <x v="5"/>
    <x v="1"/>
    <n v="27.4"/>
    <x v="1090"/>
    <x v="49"/>
    <d v="2025-02-21T00:00:00"/>
    <x v="1"/>
    <x v="1"/>
    <x v="0"/>
    <x v="0"/>
    <x v="8"/>
    <x v="1"/>
    <x v="7"/>
    <x v="1"/>
  </r>
  <r>
    <s v="TX501308"/>
    <x v="0"/>
    <x v="15"/>
    <n v="30.4"/>
    <x v="1091"/>
    <x v="49"/>
    <d v="2025-02-20T00:00:00"/>
    <x v="2"/>
    <x v="0"/>
    <x v="2"/>
    <x v="0"/>
    <x v="8"/>
    <x v="3"/>
    <x v="7"/>
    <x v="2"/>
  </r>
  <r>
    <s v="TX501309"/>
    <x v="12"/>
    <x v="2"/>
    <n v="46.2"/>
    <x v="209"/>
    <x v="49"/>
    <d v="2025-02-21T00:00:00"/>
    <x v="1"/>
    <x v="2"/>
    <x v="1"/>
    <x v="0"/>
    <x v="17"/>
    <x v="1"/>
    <x v="7"/>
    <x v="1"/>
  </r>
  <r>
    <s v="TX501310"/>
    <x v="7"/>
    <x v="8"/>
    <n v="78.599999999999994"/>
    <x v="1092"/>
    <x v="49"/>
    <d v="2025-02-23T00:00:00"/>
    <x v="1"/>
    <x v="3"/>
    <x v="0"/>
    <x v="0"/>
    <x v="17"/>
    <x v="5"/>
    <x v="7"/>
    <x v="1"/>
  </r>
  <r>
    <s v="TX501311"/>
    <x v="17"/>
    <x v="7"/>
    <n v="25.9"/>
    <x v="155"/>
    <x v="49"/>
    <d v="2025-02-25T00:00:00"/>
    <x v="1"/>
    <x v="4"/>
    <x v="0"/>
    <x v="0"/>
    <x v="9"/>
    <x v="4"/>
    <x v="7"/>
    <x v="1"/>
  </r>
  <r>
    <s v="TX501312"/>
    <x v="6"/>
    <x v="0"/>
    <n v="134.80000000000001"/>
    <x v="1093"/>
    <x v="49"/>
    <d v="2025-02-21T00:00:00"/>
    <x v="1"/>
    <x v="2"/>
    <x v="2"/>
    <x v="0"/>
    <x v="9"/>
    <x v="1"/>
    <x v="7"/>
    <x v="1"/>
  </r>
  <r>
    <s v="TX501313"/>
    <x v="15"/>
    <x v="9"/>
    <n v="43.1"/>
    <x v="1094"/>
    <x v="49"/>
    <d v="2025-02-21T00:00:00"/>
    <x v="2"/>
    <x v="0"/>
    <x v="0"/>
    <x v="0"/>
    <x v="11"/>
    <x v="1"/>
    <x v="7"/>
    <x v="2"/>
  </r>
  <r>
    <s v="TX501314"/>
    <x v="2"/>
    <x v="1"/>
    <n v="215.6"/>
    <x v="348"/>
    <x v="49"/>
    <d v="2025-02-20T00:00:00"/>
    <x v="2"/>
    <x v="2"/>
    <x v="0"/>
    <x v="0"/>
    <x v="18"/>
    <x v="3"/>
    <x v="7"/>
    <x v="2"/>
  </r>
  <r>
    <s v="TX501315"/>
    <x v="6"/>
    <x v="1"/>
    <n v="80.7"/>
    <x v="1095"/>
    <x v="49"/>
    <d v="2025-02-22T00:00:00"/>
    <x v="2"/>
    <x v="3"/>
    <x v="0"/>
    <x v="0"/>
    <x v="18"/>
    <x v="2"/>
    <x v="7"/>
    <x v="2"/>
  </r>
  <r>
    <s v="TX501316"/>
    <x v="10"/>
    <x v="3"/>
    <n v="20.6"/>
    <x v="1096"/>
    <x v="49"/>
    <d v="2025-02-24T00:00:00"/>
    <x v="0"/>
    <x v="2"/>
    <x v="1"/>
    <x v="0"/>
    <x v="19"/>
    <x v="0"/>
    <x v="7"/>
    <x v="0"/>
  </r>
  <r>
    <s v="TX501317"/>
    <x v="12"/>
    <x v="2"/>
    <n v="37.1"/>
    <x v="1097"/>
    <x v="49"/>
    <d v="2025-02-20T00:00:00"/>
    <x v="2"/>
    <x v="0"/>
    <x v="0"/>
    <x v="0"/>
    <x v="52"/>
    <x v="3"/>
    <x v="7"/>
    <x v="2"/>
  </r>
  <r>
    <s v="TX501318"/>
    <x v="12"/>
    <x v="0"/>
    <n v="104.8"/>
    <x v="661"/>
    <x v="50"/>
    <d v="2025-02-22T00:00:00"/>
    <x v="2"/>
    <x v="0"/>
    <x v="0"/>
    <x v="0"/>
    <x v="13"/>
    <x v="1"/>
    <x v="7"/>
    <x v="2"/>
  </r>
  <r>
    <s v="TX501319"/>
    <x v="8"/>
    <x v="1"/>
    <n v="59"/>
    <x v="1098"/>
    <x v="50"/>
    <d v="2025-02-21T00:00:00"/>
    <x v="1"/>
    <x v="1"/>
    <x v="0"/>
    <x v="0"/>
    <x v="21"/>
    <x v="3"/>
    <x v="7"/>
    <x v="1"/>
  </r>
  <r>
    <s v="TX501320"/>
    <x v="8"/>
    <x v="1"/>
    <n v="32.299999999999997"/>
    <x v="1099"/>
    <x v="50"/>
    <d v="2025-02-21T00:00:00"/>
    <x v="1"/>
    <x v="0"/>
    <x v="2"/>
    <x v="0"/>
    <x v="21"/>
    <x v="3"/>
    <x v="7"/>
    <x v="1"/>
  </r>
  <r>
    <s v="TX501321"/>
    <x v="8"/>
    <x v="12"/>
    <n v="28.9"/>
    <x v="446"/>
    <x v="50"/>
    <d v="2025-02-27T00:00:00"/>
    <x v="1"/>
    <x v="0"/>
    <x v="0"/>
    <x v="0"/>
    <x v="1"/>
    <x v="6"/>
    <x v="7"/>
    <x v="1"/>
  </r>
  <r>
    <s v="TX501322"/>
    <x v="0"/>
    <x v="1"/>
    <n v="29.6"/>
    <x v="1100"/>
    <x v="50"/>
    <d v="2025-02-22T00:00:00"/>
    <x v="1"/>
    <x v="0"/>
    <x v="0"/>
    <x v="0"/>
    <x v="1"/>
    <x v="1"/>
    <x v="7"/>
    <x v="1"/>
  </r>
  <r>
    <s v="TX501323"/>
    <x v="0"/>
    <x v="9"/>
    <n v="29.4"/>
    <x v="926"/>
    <x v="50"/>
    <d v="2025-02-23T00:00:00"/>
    <x v="2"/>
    <x v="0"/>
    <x v="0"/>
    <x v="0"/>
    <x v="1"/>
    <x v="2"/>
    <x v="7"/>
    <x v="2"/>
  </r>
  <r>
    <s v="TX501324"/>
    <x v="1"/>
    <x v="1"/>
    <n v="40.6"/>
    <x v="1101"/>
    <x v="50"/>
    <d v="2025-02-21T00:00:00"/>
    <x v="1"/>
    <x v="0"/>
    <x v="4"/>
    <x v="0"/>
    <x v="2"/>
    <x v="3"/>
    <x v="7"/>
    <x v="1"/>
  </r>
  <r>
    <s v="TX501325"/>
    <x v="0"/>
    <x v="2"/>
    <n v="32.5"/>
    <x v="647"/>
    <x v="50"/>
    <d v="2025-02-21T00:00:00"/>
    <x v="1"/>
    <x v="3"/>
    <x v="2"/>
    <x v="0"/>
    <x v="22"/>
    <x v="3"/>
    <x v="7"/>
    <x v="1"/>
  </r>
  <r>
    <s v="TX501326"/>
    <x v="15"/>
    <x v="0"/>
    <n v="26.2"/>
    <x v="1102"/>
    <x v="50"/>
    <d v="2025-02-22T00:00:00"/>
    <x v="1"/>
    <x v="2"/>
    <x v="0"/>
    <x v="0"/>
    <x v="55"/>
    <x v="1"/>
    <x v="7"/>
    <x v="1"/>
  </r>
  <r>
    <s v="TX501327"/>
    <x v="10"/>
    <x v="17"/>
    <n v="44"/>
    <x v="1103"/>
    <x v="50"/>
    <d v="2025-02-26T00:00:00"/>
    <x v="1"/>
    <x v="4"/>
    <x v="0"/>
    <x v="0"/>
    <x v="3"/>
    <x v="4"/>
    <x v="7"/>
    <x v="1"/>
  </r>
  <r>
    <s v="TX501328"/>
    <x v="7"/>
    <x v="12"/>
    <n v="65.599999999999994"/>
    <x v="1104"/>
    <x v="50"/>
    <d v="2025-02-21T00:00:00"/>
    <x v="2"/>
    <x v="1"/>
    <x v="1"/>
    <x v="0"/>
    <x v="3"/>
    <x v="3"/>
    <x v="7"/>
    <x v="2"/>
  </r>
  <r>
    <s v="TX501329"/>
    <x v="5"/>
    <x v="4"/>
    <n v="32.6"/>
    <x v="1105"/>
    <x v="50"/>
    <d v="2025-02-21T00:00:00"/>
    <x v="1"/>
    <x v="4"/>
    <x v="0"/>
    <x v="0"/>
    <x v="3"/>
    <x v="3"/>
    <x v="7"/>
    <x v="1"/>
  </r>
  <r>
    <s v="TX501330"/>
    <x v="16"/>
    <x v="1"/>
    <n v="88.7"/>
    <x v="633"/>
    <x v="50"/>
    <d v="2025-02-21T00:00:00"/>
    <x v="0"/>
    <x v="3"/>
    <x v="2"/>
    <x v="0"/>
    <x v="3"/>
    <x v="3"/>
    <x v="7"/>
    <x v="0"/>
  </r>
  <r>
    <s v="TX501331"/>
    <x v="4"/>
    <x v="1"/>
    <n v="21.3"/>
    <x v="440"/>
    <x v="50"/>
    <d v="2025-02-21T00:00:00"/>
    <x v="1"/>
    <x v="0"/>
    <x v="0"/>
    <x v="0"/>
    <x v="3"/>
    <x v="3"/>
    <x v="7"/>
    <x v="1"/>
  </r>
  <r>
    <s v="TX501332"/>
    <x v="4"/>
    <x v="13"/>
    <n v="50.6"/>
    <x v="80"/>
    <x v="50"/>
    <d v="2025-02-24T00:00:00"/>
    <x v="2"/>
    <x v="2"/>
    <x v="0"/>
    <x v="0"/>
    <x v="3"/>
    <x v="5"/>
    <x v="7"/>
    <x v="2"/>
  </r>
  <r>
    <s v="TX501333"/>
    <x v="9"/>
    <x v="38"/>
    <n v="86.9"/>
    <x v="1106"/>
    <x v="50"/>
    <d v="2025-02-23T00:00:00"/>
    <x v="2"/>
    <x v="0"/>
    <x v="1"/>
    <x v="0"/>
    <x v="3"/>
    <x v="2"/>
    <x v="7"/>
    <x v="2"/>
  </r>
  <r>
    <s v="TX501334"/>
    <x v="11"/>
    <x v="2"/>
    <n v="31.8"/>
    <x v="233"/>
    <x v="50"/>
    <d v="2025-02-22T00:00:00"/>
    <x v="1"/>
    <x v="0"/>
    <x v="2"/>
    <x v="0"/>
    <x v="3"/>
    <x v="1"/>
    <x v="7"/>
    <x v="1"/>
  </r>
  <r>
    <s v="TX501335"/>
    <x v="8"/>
    <x v="0"/>
    <n v="19"/>
    <x v="134"/>
    <x v="50"/>
    <d v="2025-02-21T00:00:00"/>
    <x v="2"/>
    <x v="0"/>
    <x v="2"/>
    <x v="0"/>
    <x v="3"/>
    <x v="3"/>
    <x v="7"/>
    <x v="2"/>
  </r>
  <r>
    <s v="TX501336"/>
    <x v="5"/>
    <x v="0"/>
    <n v="54.5"/>
    <x v="1107"/>
    <x v="50"/>
    <d v="2025-02-22T00:00:00"/>
    <x v="1"/>
    <x v="0"/>
    <x v="0"/>
    <x v="0"/>
    <x v="3"/>
    <x v="1"/>
    <x v="7"/>
    <x v="1"/>
  </r>
  <r>
    <s v="TX501337"/>
    <x v="9"/>
    <x v="9"/>
    <n v="68.900000000000006"/>
    <x v="1108"/>
    <x v="50"/>
    <d v="2025-02-22T00:00:00"/>
    <x v="1"/>
    <x v="4"/>
    <x v="1"/>
    <x v="0"/>
    <x v="3"/>
    <x v="1"/>
    <x v="7"/>
    <x v="1"/>
  </r>
  <r>
    <s v="TX501338"/>
    <x v="6"/>
    <x v="2"/>
    <n v="84"/>
    <x v="816"/>
    <x v="50"/>
    <d v="2025-02-21T00:00:00"/>
    <x v="1"/>
    <x v="1"/>
    <x v="4"/>
    <x v="0"/>
    <x v="16"/>
    <x v="3"/>
    <x v="7"/>
    <x v="1"/>
  </r>
  <r>
    <s v="TX501339"/>
    <x v="15"/>
    <x v="8"/>
    <n v="23.1"/>
    <x v="827"/>
    <x v="50"/>
    <d v="2025-02-25T00:00:00"/>
    <x v="1"/>
    <x v="0"/>
    <x v="2"/>
    <x v="0"/>
    <x v="23"/>
    <x v="0"/>
    <x v="7"/>
    <x v="1"/>
  </r>
  <r>
    <s v="TX501340"/>
    <x v="7"/>
    <x v="1"/>
    <n v="62.4"/>
    <x v="1109"/>
    <x v="50"/>
    <d v="2025-02-21T00:00:00"/>
    <x v="2"/>
    <x v="0"/>
    <x v="1"/>
    <x v="0"/>
    <x v="6"/>
    <x v="3"/>
    <x v="7"/>
    <x v="2"/>
  </r>
  <r>
    <s v="TX501341"/>
    <x v="6"/>
    <x v="4"/>
    <n v="40.700000000000003"/>
    <x v="1110"/>
    <x v="50"/>
    <d v="2025-02-22T00:00:00"/>
    <x v="1"/>
    <x v="1"/>
    <x v="2"/>
    <x v="0"/>
    <x v="6"/>
    <x v="1"/>
    <x v="7"/>
    <x v="1"/>
  </r>
  <r>
    <s v="TX501342"/>
    <x v="6"/>
    <x v="0"/>
    <n v="49.6"/>
    <x v="1111"/>
    <x v="50"/>
    <d v="2025-02-23T00:00:00"/>
    <x v="1"/>
    <x v="2"/>
    <x v="0"/>
    <x v="0"/>
    <x v="7"/>
    <x v="2"/>
    <x v="7"/>
    <x v="1"/>
  </r>
  <r>
    <s v="TX501343"/>
    <x v="7"/>
    <x v="41"/>
    <n v="66.599999999999994"/>
    <x v="1112"/>
    <x v="50"/>
    <d v="2025-02-23T00:00:00"/>
    <x v="1"/>
    <x v="2"/>
    <x v="0"/>
    <x v="0"/>
    <x v="8"/>
    <x v="2"/>
    <x v="7"/>
    <x v="1"/>
  </r>
  <r>
    <s v="TX501344"/>
    <x v="8"/>
    <x v="2"/>
    <n v="26.4"/>
    <x v="1113"/>
    <x v="50"/>
    <d v="2025-02-21T00:00:00"/>
    <x v="2"/>
    <x v="1"/>
    <x v="1"/>
    <x v="0"/>
    <x v="8"/>
    <x v="3"/>
    <x v="7"/>
    <x v="2"/>
  </r>
  <r>
    <s v="TX501345"/>
    <x v="0"/>
    <x v="1"/>
    <n v="17.2"/>
    <x v="1114"/>
    <x v="50"/>
    <d v="2025-02-23T00:00:00"/>
    <x v="1"/>
    <x v="2"/>
    <x v="1"/>
    <x v="0"/>
    <x v="8"/>
    <x v="2"/>
    <x v="7"/>
    <x v="1"/>
  </r>
  <r>
    <s v="TX501346"/>
    <x v="5"/>
    <x v="8"/>
    <n v="58.1"/>
    <x v="1115"/>
    <x v="50"/>
    <d v="2025-02-23T00:00:00"/>
    <x v="2"/>
    <x v="4"/>
    <x v="0"/>
    <x v="0"/>
    <x v="8"/>
    <x v="2"/>
    <x v="7"/>
    <x v="2"/>
  </r>
  <r>
    <s v="TX501347"/>
    <x v="15"/>
    <x v="12"/>
    <n v="31.5"/>
    <x v="624"/>
    <x v="50"/>
    <d v="2025-02-23T00:00:00"/>
    <x v="2"/>
    <x v="4"/>
    <x v="4"/>
    <x v="0"/>
    <x v="8"/>
    <x v="2"/>
    <x v="7"/>
    <x v="2"/>
  </r>
  <r>
    <s v="TX501348"/>
    <x v="0"/>
    <x v="0"/>
    <n v="27.1"/>
    <x v="1116"/>
    <x v="50"/>
    <d v="2025-02-22T00:00:00"/>
    <x v="2"/>
    <x v="0"/>
    <x v="1"/>
    <x v="0"/>
    <x v="17"/>
    <x v="1"/>
    <x v="7"/>
    <x v="2"/>
  </r>
  <r>
    <s v="TX501349"/>
    <x v="18"/>
    <x v="12"/>
    <n v="28.5"/>
    <x v="717"/>
    <x v="50"/>
    <d v="2025-02-22T00:00:00"/>
    <x v="1"/>
    <x v="1"/>
    <x v="2"/>
    <x v="0"/>
    <x v="9"/>
    <x v="1"/>
    <x v="7"/>
    <x v="1"/>
  </r>
  <r>
    <s v="TX501350"/>
    <x v="10"/>
    <x v="0"/>
    <n v="40.5"/>
    <x v="1117"/>
    <x v="51"/>
    <d v="2025-02-23T00:00:00"/>
    <x v="3"/>
    <x v="2"/>
    <x v="0"/>
    <x v="0"/>
    <x v="9"/>
    <x v="1"/>
    <x v="7"/>
    <x v="3"/>
  </r>
  <r>
    <s v="TX501351"/>
    <x v="2"/>
    <x v="2"/>
    <n v="77.900000000000006"/>
    <x v="1118"/>
    <x v="51"/>
    <d v="2025-02-25T00:00:00"/>
    <x v="2"/>
    <x v="1"/>
    <x v="2"/>
    <x v="0"/>
    <x v="19"/>
    <x v="5"/>
    <x v="7"/>
    <x v="2"/>
  </r>
  <r>
    <s v="TX501352"/>
    <x v="18"/>
    <x v="12"/>
    <n v="37.1"/>
    <x v="1119"/>
    <x v="51"/>
    <d v="2025-02-23T00:00:00"/>
    <x v="1"/>
    <x v="4"/>
    <x v="2"/>
    <x v="0"/>
    <x v="19"/>
    <x v="1"/>
    <x v="7"/>
    <x v="1"/>
  </r>
  <r>
    <s v="TX501353"/>
    <x v="16"/>
    <x v="2"/>
    <n v="51.6"/>
    <x v="1120"/>
    <x v="51"/>
    <d v="2025-03-01T00:00:00"/>
    <x v="2"/>
    <x v="0"/>
    <x v="4"/>
    <x v="0"/>
    <x v="19"/>
    <x v="9"/>
    <x v="7"/>
    <x v="2"/>
  </r>
  <r>
    <s v="TX501354"/>
    <x v="7"/>
    <x v="2"/>
    <n v="98"/>
    <x v="1121"/>
    <x v="51"/>
    <d v="2025-02-22T00:00:00"/>
    <x v="1"/>
    <x v="1"/>
    <x v="1"/>
    <x v="0"/>
    <x v="19"/>
    <x v="3"/>
    <x v="7"/>
    <x v="1"/>
  </r>
  <r>
    <s v="TX501355"/>
    <x v="6"/>
    <x v="3"/>
    <n v="41.4"/>
    <x v="1122"/>
    <x v="51"/>
    <d v="2025-02-22T00:00:00"/>
    <x v="1"/>
    <x v="1"/>
    <x v="0"/>
    <x v="0"/>
    <x v="20"/>
    <x v="3"/>
    <x v="7"/>
    <x v="1"/>
  </r>
  <r>
    <s v="TX501356"/>
    <x v="11"/>
    <x v="8"/>
    <n v="34"/>
    <x v="1123"/>
    <x v="51"/>
    <d v="2025-02-26T00:00:00"/>
    <x v="2"/>
    <x v="0"/>
    <x v="2"/>
    <x v="0"/>
    <x v="52"/>
    <x v="0"/>
    <x v="7"/>
    <x v="2"/>
  </r>
  <r>
    <s v="TX501357"/>
    <x v="6"/>
    <x v="0"/>
    <n v="66.3"/>
    <x v="1124"/>
    <x v="51"/>
    <d v="2025-02-22T00:00:00"/>
    <x v="2"/>
    <x v="1"/>
    <x v="0"/>
    <x v="0"/>
    <x v="13"/>
    <x v="3"/>
    <x v="7"/>
    <x v="2"/>
  </r>
  <r>
    <s v="TX501358"/>
    <x v="7"/>
    <x v="0"/>
    <n v="33.5"/>
    <x v="253"/>
    <x v="51"/>
    <d v="2025-02-25T00:00:00"/>
    <x v="1"/>
    <x v="2"/>
    <x v="0"/>
    <x v="0"/>
    <x v="13"/>
    <x v="5"/>
    <x v="7"/>
    <x v="1"/>
  </r>
  <r>
    <s v="TX501359"/>
    <x v="12"/>
    <x v="1"/>
    <n v="70.8"/>
    <x v="932"/>
    <x v="51"/>
    <d v="2025-02-22T00:00:00"/>
    <x v="0"/>
    <x v="0"/>
    <x v="0"/>
    <x v="0"/>
    <x v="28"/>
    <x v="3"/>
    <x v="7"/>
    <x v="0"/>
  </r>
  <r>
    <s v="TX501360"/>
    <x v="6"/>
    <x v="1"/>
    <n v="127.6"/>
    <x v="281"/>
    <x v="51"/>
    <d v="2025-02-22T00:00:00"/>
    <x v="1"/>
    <x v="0"/>
    <x v="0"/>
    <x v="0"/>
    <x v="21"/>
    <x v="3"/>
    <x v="7"/>
    <x v="1"/>
  </r>
  <r>
    <s v="TX501361"/>
    <x v="6"/>
    <x v="2"/>
    <n v="95.9"/>
    <x v="1125"/>
    <x v="51"/>
    <d v="2025-02-22T00:00:00"/>
    <x v="2"/>
    <x v="1"/>
    <x v="1"/>
    <x v="0"/>
    <x v="21"/>
    <x v="3"/>
    <x v="7"/>
    <x v="2"/>
  </r>
  <r>
    <s v="TX501362"/>
    <x v="2"/>
    <x v="1"/>
    <n v="78.099999999999994"/>
    <x v="1126"/>
    <x v="51"/>
    <d v="2025-02-22T00:00:00"/>
    <x v="1"/>
    <x v="0"/>
    <x v="0"/>
    <x v="0"/>
    <x v="1"/>
    <x v="3"/>
    <x v="7"/>
    <x v="1"/>
  </r>
  <r>
    <s v="TX501363"/>
    <x v="13"/>
    <x v="1"/>
    <n v="43.2"/>
    <x v="781"/>
    <x v="51"/>
    <d v="2025-02-22T00:00:00"/>
    <x v="0"/>
    <x v="1"/>
    <x v="1"/>
    <x v="0"/>
    <x v="1"/>
    <x v="3"/>
    <x v="7"/>
    <x v="0"/>
  </r>
  <r>
    <s v="TX501364"/>
    <x v="8"/>
    <x v="12"/>
    <n v="28.4"/>
    <x v="1127"/>
    <x v="51"/>
    <d v="2025-02-27T00:00:00"/>
    <x v="1"/>
    <x v="2"/>
    <x v="0"/>
    <x v="0"/>
    <x v="3"/>
    <x v="4"/>
    <x v="7"/>
    <x v="1"/>
  </r>
  <r>
    <s v="TX501365"/>
    <x v="2"/>
    <x v="1"/>
    <n v="81.7"/>
    <x v="1128"/>
    <x v="51"/>
    <d v="2025-02-21T00:00:00"/>
    <x v="1"/>
    <x v="0"/>
    <x v="0"/>
    <x v="0"/>
    <x v="3"/>
    <x v="7"/>
    <x v="7"/>
    <x v="1"/>
  </r>
  <r>
    <s v="TX501366"/>
    <x v="18"/>
    <x v="1"/>
    <n v="56.7"/>
    <x v="1129"/>
    <x v="51"/>
    <d v="2025-02-23T00:00:00"/>
    <x v="0"/>
    <x v="0"/>
    <x v="2"/>
    <x v="0"/>
    <x v="3"/>
    <x v="1"/>
    <x v="7"/>
    <x v="0"/>
  </r>
  <r>
    <s v="TX501367"/>
    <x v="3"/>
    <x v="12"/>
    <n v="66.5"/>
    <x v="751"/>
    <x v="51"/>
    <d v="2025-02-21T00:00:00"/>
    <x v="2"/>
    <x v="0"/>
    <x v="2"/>
    <x v="0"/>
    <x v="3"/>
    <x v="7"/>
    <x v="7"/>
    <x v="2"/>
  </r>
  <r>
    <s v="TX501368"/>
    <x v="1"/>
    <x v="1"/>
    <n v="105.3"/>
    <x v="1130"/>
    <x v="51"/>
    <d v="2025-02-25T00:00:00"/>
    <x v="1"/>
    <x v="0"/>
    <x v="1"/>
    <x v="0"/>
    <x v="3"/>
    <x v="5"/>
    <x v="7"/>
    <x v="1"/>
  </r>
  <r>
    <s v="TX501369"/>
    <x v="10"/>
    <x v="9"/>
    <n v="33.799999999999997"/>
    <x v="900"/>
    <x v="51"/>
    <d v="2025-02-26T00:00:00"/>
    <x v="1"/>
    <x v="0"/>
    <x v="0"/>
    <x v="0"/>
    <x v="3"/>
    <x v="0"/>
    <x v="7"/>
    <x v="1"/>
  </r>
  <r>
    <s v="TX501370"/>
    <x v="6"/>
    <x v="2"/>
    <n v="63.4"/>
    <x v="1131"/>
    <x v="51"/>
    <d v="2025-02-26T00:00:00"/>
    <x v="1"/>
    <x v="3"/>
    <x v="1"/>
    <x v="0"/>
    <x v="24"/>
    <x v="0"/>
    <x v="7"/>
    <x v="1"/>
  </r>
  <r>
    <s v="TX501371"/>
    <x v="6"/>
    <x v="2"/>
    <n v="49"/>
    <x v="926"/>
    <x v="51"/>
    <d v="2025-02-25T00:00:00"/>
    <x v="1"/>
    <x v="3"/>
    <x v="0"/>
    <x v="0"/>
    <x v="49"/>
    <x v="5"/>
    <x v="7"/>
    <x v="1"/>
  </r>
  <r>
    <s v="TX501372"/>
    <x v="1"/>
    <x v="1"/>
    <n v="40"/>
    <x v="479"/>
    <x v="51"/>
    <d v="2025-02-22T00:00:00"/>
    <x v="2"/>
    <x v="4"/>
    <x v="1"/>
    <x v="0"/>
    <x v="23"/>
    <x v="3"/>
    <x v="7"/>
    <x v="2"/>
  </r>
  <r>
    <s v="TX501373"/>
    <x v="6"/>
    <x v="12"/>
    <n v="86.3"/>
    <x v="1132"/>
    <x v="51"/>
    <d v="2025-02-22T00:00:00"/>
    <x v="3"/>
    <x v="0"/>
    <x v="0"/>
    <x v="0"/>
    <x v="6"/>
    <x v="3"/>
    <x v="7"/>
    <x v="3"/>
  </r>
  <r>
    <s v="TX501374"/>
    <x v="6"/>
    <x v="0"/>
    <n v="51.6"/>
    <x v="937"/>
    <x v="51"/>
    <d v="2025-02-23T00:00:00"/>
    <x v="2"/>
    <x v="2"/>
    <x v="2"/>
    <x v="0"/>
    <x v="6"/>
    <x v="1"/>
    <x v="7"/>
    <x v="2"/>
  </r>
  <r>
    <s v="TX501375"/>
    <x v="10"/>
    <x v="2"/>
    <n v="26.7"/>
    <x v="1133"/>
    <x v="51"/>
    <d v="2025-02-26T00:00:00"/>
    <x v="2"/>
    <x v="2"/>
    <x v="1"/>
    <x v="0"/>
    <x v="6"/>
    <x v="0"/>
    <x v="7"/>
    <x v="2"/>
  </r>
  <r>
    <s v="TX501376"/>
    <x v="18"/>
    <x v="1"/>
    <n v="68.099999999999994"/>
    <x v="1134"/>
    <x v="51"/>
    <d v="2025-02-22T00:00:00"/>
    <x v="1"/>
    <x v="0"/>
    <x v="1"/>
    <x v="0"/>
    <x v="6"/>
    <x v="3"/>
    <x v="7"/>
    <x v="1"/>
  </r>
  <r>
    <s v="TX501377"/>
    <x v="1"/>
    <x v="0"/>
    <n v="81.7"/>
    <x v="1135"/>
    <x v="51"/>
    <d v="2025-02-22T00:00:00"/>
    <x v="1"/>
    <x v="0"/>
    <x v="0"/>
    <x v="0"/>
    <x v="7"/>
    <x v="3"/>
    <x v="7"/>
    <x v="1"/>
  </r>
  <r>
    <s v="TX501378"/>
    <x v="18"/>
    <x v="7"/>
    <n v="25.1"/>
    <x v="1136"/>
    <x v="51"/>
    <d v="2025-02-24T00:00:00"/>
    <x v="1"/>
    <x v="3"/>
    <x v="1"/>
    <x v="0"/>
    <x v="8"/>
    <x v="2"/>
    <x v="7"/>
    <x v="1"/>
  </r>
  <r>
    <s v="TX501379"/>
    <x v="8"/>
    <x v="0"/>
    <n v="20.2"/>
    <x v="1137"/>
    <x v="51"/>
    <d v="2025-02-25T00:00:00"/>
    <x v="2"/>
    <x v="0"/>
    <x v="0"/>
    <x v="0"/>
    <x v="8"/>
    <x v="5"/>
    <x v="7"/>
    <x v="2"/>
  </r>
  <r>
    <s v="TX501380"/>
    <x v="8"/>
    <x v="2"/>
    <n v="15.4"/>
    <x v="1063"/>
    <x v="51"/>
    <d v="2025-02-22T00:00:00"/>
    <x v="1"/>
    <x v="1"/>
    <x v="2"/>
    <x v="0"/>
    <x v="8"/>
    <x v="3"/>
    <x v="7"/>
    <x v="1"/>
  </r>
  <r>
    <s v="TX501381"/>
    <x v="10"/>
    <x v="0"/>
    <n v="59.2"/>
    <x v="1100"/>
    <x v="51"/>
    <d v="2025-02-22T00:00:00"/>
    <x v="1"/>
    <x v="2"/>
    <x v="2"/>
    <x v="0"/>
    <x v="17"/>
    <x v="3"/>
    <x v="7"/>
    <x v="1"/>
  </r>
  <r>
    <s v="TX501382"/>
    <x v="0"/>
    <x v="0"/>
    <n v="46.7"/>
    <x v="594"/>
    <x v="51"/>
    <d v="2025-02-26T00:00:00"/>
    <x v="1"/>
    <x v="0"/>
    <x v="0"/>
    <x v="0"/>
    <x v="17"/>
    <x v="0"/>
    <x v="7"/>
    <x v="1"/>
  </r>
  <r>
    <s v="TX501383"/>
    <x v="6"/>
    <x v="20"/>
    <n v="41.6"/>
    <x v="1138"/>
    <x v="51"/>
    <d v="2025-02-23T00:00:00"/>
    <x v="1"/>
    <x v="1"/>
    <x v="0"/>
    <x v="0"/>
    <x v="26"/>
    <x v="1"/>
    <x v="7"/>
    <x v="1"/>
  </r>
  <r>
    <s v="TX501384"/>
    <x v="8"/>
    <x v="1"/>
    <n v="19.2"/>
    <x v="1139"/>
    <x v="51"/>
    <d v="2025-02-24T00:00:00"/>
    <x v="1"/>
    <x v="4"/>
    <x v="2"/>
    <x v="0"/>
    <x v="9"/>
    <x v="2"/>
    <x v="7"/>
    <x v="1"/>
  </r>
  <r>
    <s v="TX501385"/>
    <x v="17"/>
    <x v="3"/>
    <n v="41.8"/>
    <x v="1140"/>
    <x v="51"/>
    <d v="2025-02-23T00:00:00"/>
    <x v="2"/>
    <x v="2"/>
    <x v="0"/>
    <x v="0"/>
    <x v="11"/>
    <x v="1"/>
    <x v="7"/>
    <x v="2"/>
  </r>
  <r>
    <s v="TX501386"/>
    <x v="8"/>
    <x v="13"/>
    <n v="37.4"/>
    <x v="1141"/>
    <x v="51"/>
    <d v="2025-02-23T00:00:00"/>
    <x v="1"/>
    <x v="0"/>
    <x v="2"/>
    <x v="0"/>
    <x v="11"/>
    <x v="1"/>
    <x v="7"/>
    <x v="1"/>
  </r>
  <r>
    <s v="TX501387"/>
    <x v="10"/>
    <x v="2"/>
    <n v="60.2"/>
    <x v="1142"/>
    <x v="51"/>
    <d v="2025-02-24T00:00:00"/>
    <x v="1"/>
    <x v="4"/>
    <x v="1"/>
    <x v="0"/>
    <x v="38"/>
    <x v="2"/>
    <x v="7"/>
    <x v="1"/>
  </r>
  <r>
    <s v="TX501388"/>
    <x v="9"/>
    <x v="1"/>
    <n v="91.5"/>
    <x v="1143"/>
    <x v="52"/>
    <d v="2025-02-23T00:00:00"/>
    <x v="1"/>
    <x v="0"/>
    <x v="0"/>
    <x v="0"/>
    <x v="13"/>
    <x v="3"/>
    <x v="7"/>
    <x v="1"/>
  </r>
  <r>
    <s v="TX501389"/>
    <x v="3"/>
    <x v="9"/>
    <n v="55.7"/>
    <x v="1144"/>
    <x v="52"/>
    <d v="2025-02-24T00:00:00"/>
    <x v="0"/>
    <x v="1"/>
    <x v="2"/>
    <x v="0"/>
    <x v="21"/>
    <x v="1"/>
    <x v="7"/>
    <x v="0"/>
  </r>
  <r>
    <s v="TX501390"/>
    <x v="7"/>
    <x v="1"/>
    <n v="76.7"/>
    <x v="1145"/>
    <x v="52"/>
    <d v="2025-02-24T00:00:00"/>
    <x v="1"/>
    <x v="0"/>
    <x v="1"/>
    <x v="0"/>
    <x v="21"/>
    <x v="1"/>
    <x v="7"/>
    <x v="1"/>
  </r>
  <r>
    <s v="TX501391"/>
    <x v="8"/>
    <x v="38"/>
    <n v="28.2"/>
    <x v="1146"/>
    <x v="52"/>
    <d v="2025-02-27T00:00:00"/>
    <x v="1"/>
    <x v="2"/>
    <x v="0"/>
    <x v="0"/>
    <x v="1"/>
    <x v="0"/>
    <x v="7"/>
    <x v="1"/>
  </r>
  <r>
    <s v="TX501392"/>
    <x v="7"/>
    <x v="9"/>
    <n v="93.2"/>
    <x v="1147"/>
    <x v="52"/>
    <d v="2025-02-24T00:00:00"/>
    <x v="2"/>
    <x v="4"/>
    <x v="2"/>
    <x v="0"/>
    <x v="1"/>
    <x v="1"/>
    <x v="7"/>
    <x v="2"/>
  </r>
  <r>
    <s v="TX501393"/>
    <x v="17"/>
    <x v="0"/>
    <n v="33.299999999999997"/>
    <x v="698"/>
    <x v="52"/>
    <d v="2025-02-23T00:00:00"/>
    <x v="1"/>
    <x v="4"/>
    <x v="0"/>
    <x v="0"/>
    <x v="2"/>
    <x v="3"/>
    <x v="7"/>
    <x v="1"/>
  </r>
  <r>
    <s v="TX501394"/>
    <x v="10"/>
    <x v="1"/>
    <n v="39.1"/>
    <x v="1148"/>
    <x v="52"/>
    <d v="2025-02-25T00:00:00"/>
    <x v="1"/>
    <x v="0"/>
    <x v="0"/>
    <x v="0"/>
    <x v="44"/>
    <x v="2"/>
    <x v="7"/>
    <x v="1"/>
  </r>
  <r>
    <s v="TX501395"/>
    <x v="7"/>
    <x v="4"/>
    <n v="45.3"/>
    <x v="1149"/>
    <x v="52"/>
    <d v="2025-02-23T00:00:00"/>
    <x v="1"/>
    <x v="2"/>
    <x v="0"/>
    <x v="0"/>
    <x v="33"/>
    <x v="3"/>
    <x v="7"/>
    <x v="1"/>
  </r>
  <r>
    <s v="TX501396"/>
    <x v="9"/>
    <x v="3"/>
    <n v="33.9"/>
    <x v="1150"/>
    <x v="52"/>
    <d v="2025-02-23T00:00:00"/>
    <x v="1"/>
    <x v="4"/>
    <x v="0"/>
    <x v="0"/>
    <x v="33"/>
    <x v="3"/>
    <x v="7"/>
    <x v="1"/>
  </r>
  <r>
    <s v="TX501397"/>
    <x v="8"/>
    <x v="2"/>
    <n v="19"/>
    <x v="933"/>
    <x v="52"/>
    <d v="2025-02-23T00:00:00"/>
    <x v="1"/>
    <x v="0"/>
    <x v="2"/>
    <x v="0"/>
    <x v="15"/>
    <x v="3"/>
    <x v="7"/>
    <x v="1"/>
  </r>
  <r>
    <s v="TX501398"/>
    <x v="4"/>
    <x v="0"/>
    <n v="41.9"/>
    <x v="1151"/>
    <x v="52"/>
    <d v="2025-02-25T00:00:00"/>
    <x v="2"/>
    <x v="2"/>
    <x v="0"/>
    <x v="0"/>
    <x v="22"/>
    <x v="2"/>
    <x v="7"/>
    <x v="2"/>
  </r>
  <r>
    <s v="TX501399"/>
    <x v="1"/>
    <x v="12"/>
    <n v="37.5"/>
    <x v="638"/>
    <x v="52"/>
    <d v="2025-02-22T00:00:00"/>
    <x v="2"/>
    <x v="0"/>
    <x v="0"/>
    <x v="0"/>
    <x v="3"/>
    <x v="7"/>
    <x v="7"/>
    <x v="2"/>
  </r>
  <r>
    <s v="TX501400"/>
    <x v="0"/>
    <x v="1"/>
    <n v="40.799999999999997"/>
    <x v="330"/>
    <x v="52"/>
    <d v="2025-02-25T00:00:00"/>
    <x v="1"/>
    <x v="0"/>
    <x v="0"/>
    <x v="0"/>
    <x v="3"/>
    <x v="2"/>
    <x v="7"/>
    <x v="1"/>
  </r>
  <r>
    <s v="TX501401"/>
    <x v="0"/>
    <x v="12"/>
    <n v="23.1"/>
    <x v="1152"/>
    <x v="52"/>
    <d v="2025-02-23T00:00:00"/>
    <x v="2"/>
    <x v="4"/>
    <x v="0"/>
    <x v="0"/>
    <x v="3"/>
    <x v="3"/>
    <x v="7"/>
    <x v="2"/>
  </r>
  <r>
    <s v="TX501402"/>
    <x v="8"/>
    <x v="9"/>
    <n v="39.299999999999997"/>
    <x v="756"/>
    <x v="52"/>
    <d v="2025-02-23T00:00:00"/>
    <x v="2"/>
    <x v="0"/>
    <x v="0"/>
    <x v="0"/>
    <x v="3"/>
    <x v="3"/>
    <x v="7"/>
    <x v="2"/>
  </r>
  <r>
    <s v="TX501403"/>
    <x v="2"/>
    <x v="12"/>
    <n v="85.2"/>
    <x v="1153"/>
    <x v="52"/>
    <d v="2025-02-27T00:00:00"/>
    <x v="1"/>
    <x v="2"/>
    <x v="0"/>
    <x v="0"/>
    <x v="3"/>
    <x v="0"/>
    <x v="7"/>
    <x v="1"/>
  </r>
  <r>
    <s v="TX501404"/>
    <x v="8"/>
    <x v="13"/>
    <n v="16"/>
    <x v="854"/>
    <x v="52"/>
    <d v="2025-02-25T00:00:00"/>
    <x v="1"/>
    <x v="1"/>
    <x v="0"/>
    <x v="0"/>
    <x v="3"/>
    <x v="2"/>
    <x v="7"/>
    <x v="1"/>
  </r>
  <r>
    <s v="TX501405"/>
    <x v="1"/>
    <x v="1"/>
    <n v="33.799999999999997"/>
    <x v="821"/>
    <x v="52"/>
    <d v="2025-02-26T00:00:00"/>
    <x v="2"/>
    <x v="1"/>
    <x v="0"/>
    <x v="0"/>
    <x v="3"/>
    <x v="5"/>
    <x v="7"/>
    <x v="2"/>
  </r>
  <r>
    <s v="TX501406"/>
    <x v="3"/>
    <x v="0"/>
    <n v="70"/>
    <x v="1154"/>
    <x v="52"/>
    <d v="2025-02-23T00:00:00"/>
    <x v="2"/>
    <x v="0"/>
    <x v="0"/>
    <x v="0"/>
    <x v="3"/>
    <x v="3"/>
    <x v="7"/>
    <x v="2"/>
  </r>
  <r>
    <s v="TX501407"/>
    <x v="9"/>
    <x v="0"/>
    <n v="88"/>
    <x v="1155"/>
    <x v="52"/>
    <d v="2025-02-27T00:00:00"/>
    <x v="2"/>
    <x v="3"/>
    <x v="0"/>
    <x v="0"/>
    <x v="3"/>
    <x v="0"/>
    <x v="7"/>
    <x v="2"/>
  </r>
  <r>
    <s v="TX501408"/>
    <x v="2"/>
    <x v="2"/>
    <n v="74.099999999999994"/>
    <x v="1156"/>
    <x v="52"/>
    <d v="2025-02-22T00:00:00"/>
    <x v="1"/>
    <x v="4"/>
    <x v="1"/>
    <x v="0"/>
    <x v="3"/>
    <x v="7"/>
    <x v="7"/>
    <x v="1"/>
  </r>
  <r>
    <s v="TX501409"/>
    <x v="2"/>
    <x v="0"/>
    <n v="161.9"/>
    <x v="1157"/>
    <x v="52"/>
    <d v="2025-02-24T00:00:00"/>
    <x v="1"/>
    <x v="2"/>
    <x v="0"/>
    <x v="0"/>
    <x v="3"/>
    <x v="1"/>
    <x v="7"/>
    <x v="1"/>
  </r>
  <r>
    <s v="TX501410"/>
    <x v="4"/>
    <x v="1"/>
    <n v="44"/>
    <x v="1155"/>
    <x v="52"/>
    <d v="2025-02-23T00:00:00"/>
    <x v="3"/>
    <x v="4"/>
    <x v="1"/>
    <x v="0"/>
    <x v="3"/>
    <x v="3"/>
    <x v="7"/>
    <x v="3"/>
  </r>
  <r>
    <s v="TX501411"/>
    <x v="11"/>
    <x v="0"/>
    <n v="32.1"/>
    <x v="1158"/>
    <x v="52"/>
    <d v="2025-02-22T00:00:00"/>
    <x v="2"/>
    <x v="3"/>
    <x v="3"/>
    <x v="0"/>
    <x v="3"/>
    <x v="7"/>
    <x v="7"/>
    <x v="2"/>
  </r>
  <r>
    <s v="TX501412"/>
    <x v="2"/>
    <x v="12"/>
    <n v="104.8"/>
    <x v="1159"/>
    <x v="53"/>
    <d v="2025-02-25T00:00:00"/>
    <x v="3"/>
    <x v="0"/>
    <x v="0"/>
    <x v="0"/>
    <x v="3"/>
    <x v="1"/>
    <x v="8"/>
    <x v="3"/>
  </r>
  <r>
    <s v="TX501413"/>
    <x v="9"/>
    <x v="13"/>
    <n v="67.400000000000006"/>
    <x v="1160"/>
    <x v="53"/>
    <d v="2025-02-24T00:00:00"/>
    <x v="2"/>
    <x v="3"/>
    <x v="0"/>
    <x v="0"/>
    <x v="3"/>
    <x v="3"/>
    <x v="8"/>
    <x v="2"/>
  </r>
  <r>
    <s v="TX501414"/>
    <x v="6"/>
    <x v="1"/>
    <n v="115.2"/>
    <x v="1161"/>
    <x v="53"/>
    <d v="2025-02-24T00:00:00"/>
    <x v="2"/>
    <x v="1"/>
    <x v="0"/>
    <x v="0"/>
    <x v="4"/>
    <x v="3"/>
    <x v="8"/>
    <x v="2"/>
  </r>
  <r>
    <s v="TX501415"/>
    <x v="8"/>
    <x v="19"/>
    <n v="15.5"/>
    <x v="148"/>
    <x v="53"/>
    <d v="2025-02-25T00:00:00"/>
    <x v="2"/>
    <x v="0"/>
    <x v="1"/>
    <x v="0"/>
    <x v="23"/>
    <x v="1"/>
    <x v="8"/>
    <x v="2"/>
  </r>
  <r>
    <s v="TX501416"/>
    <x v="6"/>
    <x v="5"/>
    <n v="66.400000000000006"/>
    <x v="1162"/>
    <x v="53"/>
    <d v="2025-02-25T00:00:00"/>
    <x v="2"/>
    <x v="0"/>
    <x v="0"/>
    <x v="0"/>
    <x v="6"/>
    <x v="1"/>
    <x v="8"/>
    <x v="2"/>
  </r>
  <r>
    <s v="TX501417"/>
    <x v="9"/>
    <x v="4"/>
    <n v="68.099999999999994"/>
    <x v="1163"/>
    <x v="53"/>
    <d v="2025-02-24T00:00:00"/>
    <x v="2"/>
    <x v="2"/>
    <x v="0"/>
    <x v="0"/>
    <x v="8"/>
    <x v="3"/>
    <x v="8"/>
    <x v="2"/>
  </r>
  <r>
    <s v="TX501418"/>
    <x v="8"/>
    <x v="9"/>
    <n v="32.5"/>
    <x v="1164"/>
    <x v="53"/>
    <d v="2025-02-27T00:00:00"/>
    <x v="1"/>
    <x v="2"/>
    <x v="1"/>
    <x v="0"/>
    <x v="8"/>
    <x v="5"/>
    <x v="8"/>
    <x v="1"/>
  </r>
  <r>
    <s v="TX501419"/>
    <x v="15"/>
    <x v="2"/>
    <n v="61.2"/>
    <x v="1165"/>
    <x v="53"/>
    <d v="2025-02-25T00:00:00"/>
    <x v="2"/>
    <x v="1"/>
    <x v="1"/>
    <x v="0"/>
    <x v="8"/>
    <x v="1"/>
    <x v="8"/>
    <x v="2"/>
  </r>
  <r>
    <s v="TX501420"/>
    <x v="9"/>
    <x v="1"/>
    <n v="54.2"/>
    <x v="1061"/>
    <x v="53"/>
    <d v="2025-02-24T00:00:00"/>
    <x v="2"/>
    <x v="1"/>
    <x v="0"/>
    <x v="0"/>
    <x v="8"/>
    <x v="3"/>
    <x v="8"/>
    <x v="2"/>
  </r>
  <r>
    <s v="TX501421"/>
    <x v="11"/>
    <x v="8"/>
    <n v="28.7"/>
    <x v="1166"/>
    <x v="53"/>
    <d v="2025-02-25T00:00:00"/>
    <x v="1"/>
    <x v="1"/>
    <x v="0"/>
    <x v="0"/>
    <x v="9"/>
    <x v="1"/>
    <x v="8"/>
    <x v="1"/>
  </r>
  <r>
    <s v="TX501422"/>
    <x v="12"/>
    <x v="13"/>
    <n v="38.200000000000003"/>
    <x v="1167"/>
    <x v="53"/>
    <d v="2025-02-27T00:00:00"/>
    <x v="2"/>
    <x v="0"/>
    <x v="1"/>
    <x v="0"/>
    <x v="9"/>
    <x v="5"/>
    <x v="8"/>
    <x v="2"/>
  </r>
  <r>
    <s v="TX501423"/>
    <x v="8"/>
    <x v="4"/>
    <n v="17.600000000000001"/>
    <x v="1168"/>
    <x v="53"/>
    <d v="2025-02-24T00:00:00"/>
    <x v="2"/>
    <x v="2"/>
    <x v="1"/>
    <x v="0"/>
    <x v="9"/>
    <x v="3"/>
    <x v="8"/>
    <x v="2"/>
  </r>
  <r>
    <s v="TX501424"/>
    <x v="10"/>
    <x v="2"/>
    <n v="74.599999999999994"/>
    <x v="1169"/>
    <x v="53"/>
    <d v="2025-02-23T00:00:00"/>
    <x v="2"/>
    <x v="2"/>
    <x v="0"/>
    <x v="0"/>
    <x v="11"/>
    <x v="7"/>
    <x v="8"/>
    <x v="2"/>
  </r>
  <r>
    <s v="TX501425"/>
    <x v="16"/>
    <x v="20"/>
    <n v="72.599999999999994"/>
    <x v="1170"/>
    <x v="53"/>
    <d v="2025-02-23T00:00:00"/>
    <x v="0"/>
    <x v="1"/>
    <x v="1"/>
    <x v="0"/>
    <x v="11"/>
    <x v="7"/>
    <x v="8"/>
    <x v="0"/>
  </r>
  <r>
    <s v="TX501426"/>
    <x v="7"/>
    <x v="0"/>
    <n v="62.3"/>
    <x v="1030"/>
    <x v="53"/>
    <d v="2025-02-24T00:00:00"/>
    <x v="2"/>
    <x v="1"/>
    <x v="0"/>
    <x v="0"/>
    <x v="11"/>
    <x v="3"/>
    <x v="8"/>
    <x v="2"/>
  </r>
  <r>
    <s v="TX501427"/>
    <x v="3"/>
    <x v="2"/>
    <n v="33.799999999999997"/>
    <x v="1171"/>
    <x v="53"/>
    <d v="2025-02-25T00:00:00"/>
    <x v="1"/>
    <x v="0"/>
    <x v="2"/>
    <x v="0"/>
    <x v="20"/>
    <x v="1"/>
    <x v="8"/>
    <x v="1"/>
  </r>
  <r>
    <s v="TX501428"/>
    <x v="9"/>
    <x v="0"/>
    <n v="85.7"/>
    <x v="1172"/>
    <x v="53"/>
    <d v="2025-02-26T00:00:00"/>
    <x v="1"/>
    <x v="3"/>
    <x v="1"/>
    <x v="0"/>
    <x v="21"/>
    <x v="2"/>
    <x v="8"/>
    <x v="1"/>
  </r>
  <r>
    <s v="TX501429"/>
    <x v="6"/>
    <x v="1"/>
    <n v="92.1"/>
    <x v="1173"/>
    <x v="53"/>
    <d v="2025-02-25T00:00:00"/>
    <x v="1"/>
    <x v="1"/>
    <x v="0"/>
    <x v="0"/>
    <x v="21"/>
    <x v="1"/>
    <x v="8"/>
    <x v="1"/>
  </r>
  <r>
    <s v="TX501430"/>
    <x v="16"/>
    <x v="2"/>
    <n v="65.099999999999994"/>
    <x v="1174"/>
    <x v="53"/>
    <d v="2025-02-26T00:00:00"/>
    <x v="1"/>
    <x v="0"/>
    <x v="0"/>
    <x v="0"/>
    <x v="1"/>
    <x v="2"/>
    <x v="8"/>
    <x v="1"/>
  </r>
  <r>
    <s v="TX501431"/>
    <x v="9"/>
    <x v="3"/>
    <n v="20.3"/>
    <x v="1175"/>
    <x v="53"/>
    <d v="2025-02-24T00:00:00"/>
    <x v="2"/>
    <x v="2"/>
    <x v="2"/>
    <x v="0"/>
    <x v="2"/>
    <x v="3"/>
    <x v="8"/>
    <x v="2"/>
  </r>
  <r>
    <s v="TX501432"/>
    <x v="19"/>
    <x v="1"/>
    <n v="29.8"/>
    <x v="1176"/>
    <x v="53"/>
    <d v="2025-02-25T00:00:00"/>
    <x v="2"/>
    <x v="1"/>
    <x v="2"/>
    <x v="0"/>
    <x v="34"/>
    <x v="1"/>
    <x v="8"/>
    <x v="2"/>
  </r>
  <r>
    <s v="TX501433"/>
    <x v="0"/>
    <x v="1"/>
    <n v="24.2"/>
    <x v="655"/>
    <x v="53"/>
    <d v="2025-02-25T00:00:00"/>
    <x v="2"/>
    <x v="3"/>
    <x v="2"/>
    <x v="0"/>
    <x v="3"/>
    <x v="1"/>
    <x v="8"/>
    <x v="2"/>
  </r>
  <r>
    <s v="TX501434"/>
    <x v="3"/>
    <x v="0"/>
    <n v="57.3"/>
    <x v="1177"/>
    <x v="53"/>
    <d v="2025-02-25T00:00:00"/>
    <x v="1"/>
    <x v="0"/>
    <x v="0"/>
    <x v="0"/>
    <x v="3"/>
    <x v="1"/>
    <x v="8"/>
    <x v="1"/>
  </r>
  <r>
    <s v="TX501435"/>
    <x v="2"/>
    <x v="0"/>
    <n v="108.9"/>
    <x v="1178"/>
    <x v="53"/>
    <d v="2025-02-25T00:00:00"/>
    <x v="2"/>
    <x v="1"/>
    <x v="0"/>
    <x v="0"/>
    <x v="3"/>
    <x v="1"/>
    <x v="8"/>
    <x v="2"/>
  </r>
  <r>
    <s v="TX501436"/>
    <x v="7"/>
    <x v="9"/>
    <n v="50.7"/>
    <x v="103"/>
    <x v="53"/>
    <d v="2025-02-24T00:00:00"/>
    <x v="2"/>
    <x v="0"/>
    <x v="0"/>
    <x v="0"/>
    <x v="3"/>
    <x v="3"/>
    <x v="8"/>
    <x v="2"/>
  </r>
  <r>
    <s v="TX501437"/>
    <x v="7"/>
    <x v="11"/>
    <n v="66.099999999999994"/>
    <x v="1179"/>
    <x v="53"/>
    <d v="2025-03-09T00:00:00"/>
    <x v="2"/>
    <x v="1"/>
    <x v="0"/>
    <x v="0"/>
    <x v="3"/>
    <x v="12"/>
    <x v="8"/>
    <x v="2"/>
  </r>
  <r>
    <s v="TX501438"/>
    <x v="12"/>
    <x v="9"/>
    <n v="36.700000000000003"/>
    <x v="1180"/>
    <x v="53"/>
    <d v="2025-02-27T00:00:00"/>
    <x v="2"/>
    <x v="4"/>
    <x v="0"/>
    <x v="0"/>
    <x v="3"/>
    <x v="5"/>
    <x v="8"/>
    <x v="2"/>
  </r>
  <r>
    <s v="TX501439"/>
    <x v="8"/>
    <x v="14"/>
    <n v="19.3"/>
    <x v="1181"/>
    <x v="53"/>
    <d v="2025-02-25T00:00:00"/>
    <x v="1"/>
    <x v="0"/>
    <x v="0"/>
    <x v="0"/>
    <x v="43"/>
    <x v="1"/>
    <x v="8"/>
    <x v="1"/>
  </r>
  <r>
    <s v="TX501440"/>
    <x v="8"/>
    <x v="12"/>
    <n v="20.7"/>
    <x v="1182"/>
    <x v="53"/>
    <d v="2025-02-24T00:00:00"/>
    <x v="1"/>
    <x v="1"/>
    <x v="2"/>
    <x v="0"/>
    <x v="6"/>
    <x v="3"/>
    <x v="8"/>
    <x v="1"/>
  </r>
  <r>
    <s v="TX501441"/>
    <x v="5"/>
    <x v="2"/>
    <n v="54.7"/>
    <x v="1183"/>
    <x v="53"/>
    <d v="2025-02-23T00:00:00"/>
    <x v="3"/>
    <x v="1"/>
    <x v="4"/>
    <x v="0"/>
    <x v="6"/>
    <x v="7"/>
    <x v="8"/>
    <x v="3"/>
  </r>
  <r>
    <s v="TX501442"/>
    <x v="4"/>
    <x v="1"/>
    <n v="19.8"/>
    <x v="341"/>
    <x v="53"/>
    <d v="2025-02-27T00:00:00"/>
    <x v="2"/>
    <x v="4"/>
    <x v="1"/>
    <x v="0"/>
    <x v="8"/>
    <x v="5"/>
    <x v="8"/>
    <x v="2"/>
  </r>
  <r>
    <s v="TX501443"/>
    <x v="7"/>
    <x v="0"/>
    <n v="41.1"/>
    <x v="1184"/>
    <x v="53"/>
    <d v="2025-02-25T00:00:00"/>
    <x v="2"/>
    <x v="0"/>
    <x v="2"/>
    <x v="0"/>
    <x v="8"/>
    <x v="1"/>
    <x v="8"/>
    <x v="2"/>
  </r>
  <r>
    <s v="TX501444"/>
    <x v="11"/>
    <x v="8"/>
    <n v="43.5"/>
    <x v="1185"/>
    <x v="53"/>
    <d v="2025-02-27T00:00:00"/>
    <x v="2"/>
    <x v="3"/>
    <x v="0"/>
    <x v="0"/>
    <x v="8"/>
    <x v="5"/>
    <x v="8"/>
    <x v="2"/>
  </r>
  <r>
    <s v="TX501445"/>
    <x v="8"/>
    <x v="21"/>
    <n v="19"/>
    <x v="751"/>
    <x v="53"/>
    <d v="2025-02-24T00:00:00"/>
    <x v="1"/>
    <x v="0"/>
    <x v="0"/>
    <x v="0"/>
    <x v="26"/>
    <x v="3"/>
    <x v="8"/>
    <x v="1"/>
  </r>
  <r>
    <s v="TX501446"/>
    <x v="2"/>
    <x v="12"/>
    <n v="51.4"/>
    <x v="1186"/>
    <x v="53"/>
    <d v="2025-02-23T00:00:00"/>
    <x v="2"/>
    <x v="0"/>
    <x v="0"/>
    <x v="0"/>
    <x v="26"/>
    <x v="7"/>
    <x v="8"/>
    <x v="2"/>
  </r>
  <r>
    <s v="TX501447"/>
    <x v="10"/>
    <x v="1"/>
    <n v="39.799999999999997"/>
    <x v="1187"/>
    <x v="53"/>
    <d v="2025-02-26T00:00:00"/>
    <x v="1"/>
    <x v="3"/>
    <x v="1"/>
    <x v="0"/>
    <x v="13"/>
    <x v="2"/>
    <x v="8"/>
    <x v="1"/>
  </r>
  <r>
    <s v="TX501448"/>
    <x v="6"/>
    <x v="9"/>
    <n v="61"/>
    <x v="1188"/>
    <x v="53"/>
    <d v="2025-02-24T00:00:00"/>
    <x v="0"/>
    <x v="0"/>
    <x v="2"/>
    <x v="0"/>
    <x v="21"/>
    <x v="3"/>
    <x v="8"/>
    <x v="0"/>
  </r>
  <r>
    <s v="TX501449"/>
    <x v="8"/>
    <x v="5"/>
    <n v="15.1"/>
    <x v="1189"/>
    <x v="54"/>
    <d v="2025-03-01T00:00:00"/>
    <x v="1"/>
    <x v="3"/>
    <x v="2"/>
    <x v="0"/>
    <x v="2"/>
    <x v="0"/>
    <x v="8"/>
    <x v="1"/>
  </r>
  <r>
    <s v="TX501450"/>
    <x v="1"/>
    <x v="3"/>
    <n v="71.3"/>
    <x v="1190"/>
    <x v="54"/>
    <d v="2025-02-25T00:00:00"/>
    <x v="1"/>
    <x v="4"/>
    <x v="0"/>
    <x v="0"/>
    <x v="3"/>
    <x v="3"/>
    <x v="8"/>
    <x v="1"/>
  </r>
  <r>
    <s v="TX501451"/>
    <x v="10"/>
    <x v="0"/>
    <n v="25.8"/>
    <x v="1191"/>
    <x v="54"/>
    <d v="2025-02-26T00:00:00"/>
    <x v="2"/>
    <x v="0"/>
    <x v="2"/>
    <x v="0"/>
    <x v="3"/>
    <x v="1"/>
    <x v="8"/>
    <x v="2"/>
  </r>
  <r>
    <s v="TX501452"/>
    <x v="8"/>
    <x v="9"/>
    <n v="39.6"/>
    <x v="1192"/>
    <x v="54"/>
    <d v="2025-02-26T00:00:00"/>
    <x v="1"/>
    <x v="1"/>
    <x v="2"/>
    <x v="0"/>
    <x v="3"/>
    <x v="1"/>
    <x v="8"/>
    <x v="1"/>
  </r>
  <r>
    <s v="TX501453"/>
    <x v="5"/>
    <x v="1"/>
    <n v="64"/>
    <x v="1193"/>
    <x v="54"/>
    <d v="2025-02-24T00:00:00"/>
    <x v="1"/>
    <x v="1"/>
    <x v="1"/>
    <x v="0"/>
    <x v="3"/>
    <x v="7"/>
    <x v="8"/>
    <x v="1"/>
  </r>
  <r>
    <s v="TX501454"/>
    <x v="8"/>
    <x v="1"/>
    <n v="30.6"/>
    <x v="1"/>
    <x v="54"/>
    <d v="2025-02-27T00:00:00"/>
    <x v="1"/>
    <x v="0"/>
    <x v="2"/>
    <x v="0"/>
    <x v="3"/>
    <x v="2"/>
    <x v="8"/>
    <x v="1"/>
  </r>
  <r>
    <s v="TX501455"/>
    <x v="8"/>
    <x v="1"/>
    <n v="21.3"/>
    <x v="440"/>
    <x v="54"/>
    <d v="2025-02-25T00:00:00"/>
    <x v="1"/>
    <x v="0"/>
    <x v="1"/>
    <x v="0"/>
    <x v="3"/>
    <x v="3"/>
    <x v="8"/>
    <x v="1"/>
  </r>
  <r>
    <s v="TX501456"/>
    <x v="7"/>
    <x v="0"/>
    <n v="40.799999999999997"/>
    <x v="803"/>
    <x v="54"/>
    <d v="2025-02-26T00:00:00"/>
    <x v="2"/>
    <x v="4"/>
    <x v="0"/>
    <x v="0"/>
    <x v="3"/>
    <x v="1"/>
    <x v="8"/>
    <x v="2"/>
  </r>
  <r>
    <s v="TX501457"/>
    <x v="9"/>
    <x v="12"/>
    <n v="27.7"/>
    <x v="806"/>
    <x v="54"/>
    <d v="2025-02-25T00:00:00"/>
    <x v="2"/>
    <x v="0"/>
    <x v="1"/>
    <x v="0"/>
    <x v="3"/>
    <x v="3"/>
    <x v="8"/>
    <x v="2"/>
  </r>
  <r>
    <s v="TX501458"/>
    <x v="6"/>
    <x v="1"/>
    <n v="64.599999999999994"/>
    <x v="769"/>
    <x v="54"/>
    <d v="2025-02-25T00:00:00"/>
    <x v="1"/>
    <x v="0"/>
    <x v="1"/>
    <x v="0"/>
    <x v="3"/>
    <x v="3"/>
    <x v="8"/>
    <x v="1"/>
  </r>
  <r>
    <s v="TX501459"/>
    <x v="6"/>
    <x v="27"/>
    <n v="91.1"/>
    <x v="1194"/>
    <x v="54"/>
    <d v="2025-02-25T00:00:00"/>
    <x v="2"/>
    <x v="1"/>
    <x v="2"/>
    <x v="0"/>
    <x v="3"/>
    <x v="3"/>
    <x v="8"/>
    <x v="2"/>
  </r>
  <r>
    <s v="TX501460"/>
    <x v="1"/>
    <x v="0"/>
    <n v="39.5"/>
    <x v="736"/>
    <x v="54"/>
    <d v="2025-03-04T00:00:00"/>
    <x v="2"/>
    <x v="0"/>
    <x v="0"/>
    <x v="0"/>
    <x v="3"/>
    <x v="9"/>
    <x v="8"/>
    <x v="2"/>
  </r>
  <r>
    <s v="TX501461"/>
    <x v="9"/>
    <x v="1"/>
    <n v="21.8"/>
    <x v="1195"/>
    <x v="54"/>
    <d v="2025-02-28T00:00:00"/>
    <x v="1"/>
    <x v="4"/>
    <x v="2"/>
    <x v="0"/>
    <x v="3"/>
    <x v="5"/>
    <x v="8"/>
    <x v="1"/>
  </r>
  <r>
    <s v="TX501462"/>
    <x v="8"/>
    <x v="1"/>
    <n v="51"/>
    <x v="1062"/>
    <x v="54"/>
    <d v="2025-02-27T00:00:00"/>
    <x v="1"/>
    <x v="3"/>
    <x v="2"/>
    <x v="0"/>
    <x v="3"/>
    <x v="2"/>
    <x v="8"/>
    <x v="1"/>
  </r>
  <r>
    <s v="TX501463"/>
    <x v="2"/>
    <x v="0"/>
    <n v="92.6"/>
    <x v="1196"/>
    <x v="54"/>
    <d v="2025-02-27T00:00:00"/>
    <x v="2"/>
    <x v="0"/>
    <x v="2"/>
    <x v="0"/>
    <x v="35"/>
    <x v="2"/>
    <x v="8"/>
    <x v="2"/>
  </r>
  <r>
    <s v="TX501464"/>
    <x v="9"/>
    <x v="1"/>
    <n v="31.1"/>
    <x v="1197"/>
    <x v="54"/>
    <d v="2025-03-01T00:00:00"/>
    <x v="0"/>
    <x v="1"/>
    <x v="3"/>
    <x v="0"/>
    <x v="23"/>
    <x v="0"/>
    <x v="8"/>
    <x v="0"/>
  </r>
  <r>
    <s v="TX501465"/>
    <x v="5"/>
    <x v="2"/>
    <n v="56.4"/>
    <x v="362"/>
    <x v="54"/>
    <d v="2025-02-25T00:00:00"/>
    <x v="0"/>
    <x v="1"/>
    <x v="0"/>
    <x v="0"/>
    <x v="6"/>
    <x v="3"/>
    <x v="8"/>
    <x v="0"/>
  </r>
  <r>
    <s v="TX501466"/>
    <x v="9"/>
    <x v="0"/>
    <n v="41.9"/>
    <x v="1151"/>
    <x v="54"/>
    <d v="2025-02-24T00:00:00"/>
    <x v="1"/>
    <x v="1"/>
    <x v="0"/>
    <x v="0"/>
    <x v="6"/>
    <x v="7"/>
    <x v="8"/>
    <x v="1"/>
  </r>
  <r>
    <s v="TX501467"/>
    <x v="10"/>
    <x v="3"/>
    <n v="45.9"/>
    <x v="1198"/>
    <x v="54"/>
    <d v="2025-02-25T00:00:00"/>
    <x v="1"/>
    <x v="3"/>
    <x v="2"/>
    <x v="0"/>
    <x v="8"/>
    <x v="3"/>
    <x v="8"/>
    <x v="1"/>
  </r>
  <r>
    <s v="TX501468"/>
    <x v="14"/>
    <x v="11"/>
    <n v="24.4"/>
    <x v="1199"/>
    <x v="54"/>
    <d v="2025-02-28T00:00:00"/>
    <x v="1"/>
    <x v="3"/>
    <x v="2"/>
    <x v="0"/>
    <x v="8"/>
    <x v="5"/>
    <x v="8"/>
    <x v="1"/>
  </r>
  <r>
    <s v="TX501469"/>
    <x v="8"/>
    <x v="0"/>
    <n v="18.2"/>
    <x v="1200"/>
    <x v="54"/>
    <d v="2025-02-25T00:00:00"/>
    <x v="2"/>
    <x v="2"/>
    <x v="2"/>
    <x v="0"/>
    <x v="8"/>
    <x v="3"/>
    <x v="8"/>
    <x v="2"/>
  </r>
  <r>
    <s v="TX501470"/>
    <x v="8"/>
    <x v="12"/>
    <n v="51.2"/>
    <x v="403"/>
    <x v="54"/>
    <d v="2025-02-25T00:00:00"/>
    <x v="2"/>
    <x v="0"/>
    <x v="0"/>
    <x v="0"/>
    <x v="8"/>
    <x v="3"/>
    <x v="8"/>
    <x v="2"/>
  </r>
  <r>
    <s v="TX501471"/>
    <x v="6"/>
    <x v="0"/>
    <n v="59.7"/>
    <x v="1201"/>
    <x v="54"/>
    <d v="2025-02-27T00:00:00"/>
    <x v="1"/>
    <x v="0"/>
    <x v="2"/>
    <x v="0"/>
    <x v="8"/>
    <x v="2"/>
    <x v="8"/>
    <x v="1"/>
  </r>
  <r>
    <s v="TX501472"/>
    <x v="4"/>
    <x v="1"/>
    <n v="33.6"/>
    <x v="863"/>
    <x v="54"/>
    <d v="2025-02-26T00:00:00"/>
    <x v="2"/>
    <x v="0"/>
    <x v="0"/>
    <x v="0"/>
    <x v="17"/>
    <x v="1"/>
    <x v="8"/>
    <x v="2"/>
  </r>
  <r>
    <s v="TX501473"/>
    <x v="12"/>
    <x v="0"/>
    <n v="90.4"/>
    <x v="786"/>
    <x v="54"/>
    <d v="2025-02-28T00:00:00"/>
    <x v="1"/>
    <x v="1"/>
    <x v="2"/>
    <x v="0"/>
    <x v="10"/>
    <x v="5"/>
    <x v="8"/>
    <x v="1"/>
  </r>
  <r>
    <s v="TX501474"/>
    <x v="11"/>
    <x v="2"/>
    <n v="70.3"/>
    <x v="1202"/>
    <x v="54"/>
    <d v="2025-02-24T00:00:00"/>
    <x v="1"/>
    <x v="1"/>
    <x v="2"/>
    <x v="0"/>
    <x v="11"/>
    <x v="7"/>
    <x v="8"/>
    <x v="1"/>
  </r>
  <r>
    <s v="TX501475"/>
    <x v="4"/>
    <x v="1"/>
    <n v="20.5"/>
    <x v="783"/>
    <x v="54"/>
    <d v="2025-02-27T00:00:00"/>
    <x v="2"/>
    <x v="0"/>
    <x v="1"/>
    <x v="0"/>
    <x v="11"/>
    <x v="2"/>
    <x v="8"/>
    <x v="2"/>
  </r>
  <r>
    <s v="TX501476"/>
    <x v="5"/>
    <x v="5"/>
    <n v="37.6"/>
    <x v="1203"/>
    <x v="54"/>
    <d v="2025-02-25T00:00:00"/>
    <x v="1"/>
    <x v="0"/>
    <x v="0"/>
    <x v="0"/>
    <x v="38"/>
    <x v="3"/>
    <x v="8"/>
    <x v="1"/>
  </r>
  <r>
    <s v="TX501477"/>
    <x v="5"/>
    <x v="12"/>
    <n v="61.5"/>
    <x v="1204"/>
    <x v="54"/>
    <d v="2025-03-03T00:00:00"/>
    <x v="2"/>
    <x v="1"/>
    <x v="4"/>
    <x v="0"/>
    <x v="13"/>
    <x v="6"/>
    <x v="8"/>
    <x v="2"/>
  </r>
  <r>
    <s v="TX501478"/>
    <x v="9"/>
    <x v="0"/>
    <n v="33.5"/>
    <x v="253"/>
    <x v="55"/>
    <d v="2025-03-01T00:00:00"/>
    <x v="1"/>
    <x v="4"/>
    <x v="1"/>
    <x v="0"/>
    <x v="21"/>
    <x v="5"/>
    <x v="8"/>
    <x v="1"/>
  </r>
  <r>
    <s v="TX501479"/>
    <x v="4"/>
    <x v="2"/>
    <n v="29.3"/>
    <x v="1205"/>
    <x v="55"/>
    <d v="2025-02-27T00:00:00"/>
    <x v="2"/>
    <x v="1"/>
    <x v="2"/>
    <x v="0"/>
    <x v="1"/>
    <x v="1"/>
    <x v="8"/>
    <x v="2"/>
  </r>
  <r>
    <s v="TX501480"/>
    <x v="2"/>
    <x v="1"/>
    <n v="125.9"/>
    <x v="1206"/>
    <x v="55"/>
    <d v="2025-03-02T00:00:00"/>
    <x v="2"/>
    <x v="4"/>
    <x v="1"/>
    <x v="0"/>
    <x v="1"/>
    <x v="0"/>
    <x v="8"/>
    <x v="2"/>
  </r>
  <r>
    <s v="TX501481"/>
    <x v="5"/>
    <x v="9"/>
    <n v="29.3"/>
    <x v="1207"/>
    <x v="55"/>
    <d v="2025-02-25T00:00:00"/>
    <x v="1"/>
    <x v="2"/>
    <x v="0"/>
    <x v="0"/>
    <x v="44"/>
    <x v="7"/>
    <x v="8"/>
    <x v="1"/>
  </r>
  <r>
    <s v="TX501482"/>
    <x v="9"/>
    <x v="0"/>
    <n v="37.799999999999997"/>
    <x v="463"/>
    <x v="55"/>
    <d v="2025-02-28T00:00:00"/>
    <x v="2"/>
    <x v="0"/>
    <x v="2"/>
    <x v="0"/>
    <x v="3"/>
    <x v="2"/>
    <x v="8"/>
    <x v="2"/>
  </r>
  <r>
    <s v="TX501483"/>
    <x v="0"/>
    <x v="12"/>
    <n v="31.7"/>
    <x v="1208"/>
    <x v="55"/>
    <d v="2025-02-26T00:00:00"/>
    <x v="1"/>
    <x v="2"/>
    <x v="2"/>
    <x v="0"/>
    <x v="3"/>
    <x v="3"/>
    <x v="8"/>
    <x v="1"/>
  </r>
  <r>
    <s v="TX501484"/>
    <x v="8"/>
    <x v="9"/>
    <n v="26.3"/>
    <x v="1209"/>
    <x v="55"/>
    <d v="2025-02-26T00:00:00"/>
    <x v="2"/>
    <x v="3"/>
    <x v="2"/>
    <x v="0"/>
    <x v="3"/>
    <x v="3"/>
    <x v="8"/>
    <x v="2"/>
  </r>
  <r>
    <s v="TX501485"/>
    <x v="8"/>
    <x v="2"/>
    <n v="23.1"/>
    <x v="59"/>
    <x v="55"/>
    <d v="2025-02-26T00:00:00"/>
    <x v="3"/>
    <x v="2"/>
    <x v="1"/>
    <x v="0"/>
    <x v="3"/>
    <x v="3"/>
    <x v="8"/>
    <x v="3"/>
  </r>
  <r>
    <s v="TX501486"/>
    <x v="4"/>
    <x v="0"/>
    <n v="22.3"/>
    <x v="968"/>
    <x v="55"/>
    <d v="2025-02-27T00:00:00"/>
    <x v="2"/>
    <x v="2"/>
    <x v="0"/>
    <x v="0"/>
    <x v="3"/>
    <x v="1"/>
    <x v="8"/>
    <x v="2"/>
  </r>
  <r>
    <s v="TX501487"/>
    <x v="12"/>
    <x v="1"/>
    <n v="99.5"/>
    <x v="1210"/>
    <x v="55"/>
    <d v="2025-02-27T00:00:00"/>
    <x v="2"/>
    <x v="2"/>
    <x v="0"/>
    <x v="0"/>
    <x v="3"/>
    <x v="1"/>
    <x v="8"/>
    <x v="2"/>
  </r>
  <r>
    <s v="TX501488"/>
    <x v="12"/>
    <x v="12"/>
    <n v="47.4"/>
    <x v="455"/>
    <x v="55"/>
    <d v="2025-02-28T00:00:00"/>
    <x v="2"/>
    <x v="1"/>
    <x v="0"/>
    <x v="0"/>
    <x v="3"/>
    <x v="2"/>
    <x v="8"/>
    <x v="2"/>
  </r>
  <r>
    <s v="TX501489"/>
    <x v="0"/>
    <x v="5"/>
    <n v="37.5"/>
    <x v="1211"/>
    <x v="55"/>
    <d v="2025-02-27T00:00:00"/>
    <x v="2"/>
    <x v="0"/>
    <x v="3"/>
    <x v="0"/>
    <x v="3"/>
    <x v="1"/>
    <x v="8"/>
    <x v="2"/>
  </r>
  <r>
    <s v="TX501490"/>
    <x v="10"/>
    <x v="0"/>
    <n v="45.1"/>
    <x v="1212"/>
    <x v="55"/>
    <d v="2025-03-02T00:00:00"/>
    <x v="1"/>
    <x v="3"/>
    <x v="2"/>
    <x v="0"/>
    <x v="24"/>
    <x v="0"/>
    <x v="8"/>
    <x v="1"/>
  </r>
  <r>
    <s v="TX501491"/>
    <x v="5"/>
    <x v="7"/>
    <n v="34.4"/>
    <x v="1213"/>
    <x v="55"/>
    <d v="2025-02-28T00:00:00"/>
    <x v="1"/>
    <x v="2"/>
    <x v="0"/>
    <x v="0"/>
    <x v="16"/>
    <x v="2"/>
    <x v="8"/>
    <x v="1"/>
  </r>
  <r>
    <s v="TX501492"/>
    <x v="4"/>
    <x v="1"/>
    <n v="38"/>
    <x v="998"/>
    <x v="55"/>
    <d v="2025-02-27T00:00:00"/>
    <x v="2"/>
    <x v="1"/>
    <x v="0"/>
    <x v="0"/>
    <x v="5"/>
    <x v="1"/>
    <x v="8"/>
    <x v="2"/>
  </r>
  <r>
    <s v="TX501493"/>
    <x v="3"/>
    <x v="21"/>
    <n v="32.4"/>
    <x v="1214"/>
    <x v="55"/>
    <d v="2025-02-28T00:00:00"/>
    <x v="1"/>
    <x v="4"/>
    <x v="0"/>
    <x v="0"/>
    <x v="6"/>
    <x v="2"/>
    <x v="8"/>
    <x v="1"/>
  </r>
  <r>
    <s v="TX501494"/>
    <x v="6"/>
    <x v="2"/>
    <n v="40.9"/>
    <x v="544"/>
    <x v="55"/>
    <d v="2025-02-25T00:00:00"/>
    <x v="0"/>
    <x v="1"/>
    <x v="0"/>
    <x v="0"/>
    <x v="8"/>
    <x v="7"/>
    <x v="8"/>
    <x v="0"/>
  </r>
  <r>
    <s v="TX501495"/>
    <x v="7"/>
    <x v="3"/>
    <n v="76.2"/>
    <x v="1215"/>
    <x v="55"/>
    <d v="2025-02-27T00:00:00"/>
    <x v="2"/>
    <x v="2"/>
    <x v="1"/>
    <x v="0"/>
    <x v="8"/>
    <x v="1"/>
    <x v="8"/>
    <x v="2"/>
  </r>
  <r>
    <s v="TX501496"/>
    <x v="2"/>
    <x v="0"/>
    <n v="85.6"/>
    <x v="1216"/>
    <x v="55"/>
    <d v="2025-02-27T00:00:00"/>
    <x v="1"/>
    <x v="2"/>
    <x v="0"/>
    <x v="0"/>
    <x v="8"/>
    <x v="1"/>
    <x v="8"/>
    <x v="1"/>
  </r>
  <r>
    <s v="TX501497"/>
    <x v="4"/>
    <x v="12"/>
    <n v="25"/>
    <x v="1217"/>
    <x v="55"/>
    <d v="2025-02-27T00:00:00"/>
    <x v="2"/>
    <x v="2"/>
    <x v="2"/>
    <x v="0"/>
    <x v="8"/>
    <x v="1"/>
    <x v="8"/>
    <x v="2"/>
  </r>
  <r>
    <s v="TX501498"/>
    <x v="2"/>
    <x v="9"/>
    <n v="150.69999999999999"/>
    <x v="1218"/>
    <x v="55"/>
    <d v="2025-02-26T00:00:00"/>
    <x v="0"/>
    <x v="0"/>
    <x v="2"/>
    <x v="0"/>
    <x v="8"/>
    <x v="3"/>
    <x v="8"/>
    <x v="0"/>
  </r>
  <r>
    <s v="TX501499"/>
    <x v="8"/>
    <x v="0"/>
    <n v="19.600000000000001"/>
    <x v="1219"/>
    <x v="55"/>
    <d v="2025-02-26T00:00:00"/>
    <x v="1"/>
    <x v="1"/>
    <x v="4"/>
    <x v="0"/>
    <x v="8"/>
    <x v="3"/>
    <x v="8"/>
    <x v="1"/>
  </r>
  <r>
    <s v="TX501500"/>
    <x v="13"/>
    <x v="1"/>
    <n v="37.5"/>
    <x v="611"/>
    <x v="55"/>
    <d v="2025-02-28T00:00:00"/>
    <x v="2"/>
    <x v="1"/>
    <x v="2"/>
    <x v="0"/>
    <x v="17"/>
    <x v="2"/>
    <x v="8"/>
    <x v="2"/>
  </r>
  <r>
    <s v="TX501501"/>
    <x v="9"/>
    <x v="2"/>
    <n v="51.9"/>
    <x v="515"/>
    <x v="55"/>
    <d v="2025-03-03T00:00:00"/>
    <x v="2"/>
    <x v="0"/>
    <x v="4"/>
    <x v="0"/>
    <x v="11"/>
    <x v="4"/>
    <x v="8"/>
    <x v="2"/>
  </r>
  <r>
    <s v="TX501502"/>
    <x v="1"/>
    <x v="1"/>
    <n v="30.9"/>
    <x v="546"/>
    <x v="55"/>
    <d v="2025-02-27T00:00:00"/>
    <x v="2"/>
    <x v="1"/>
    <x v="0"/>
    <x v="0"/>
    <x v="18"/>
    <x v="1"/>
    <x v="8"/>
    <x v="2"/>
  </r>
  <r>
    <s v="TX501503"/>
    <x v="4"/>
    <x v="2"/>
    <n v="21.2"/>
    <x v="1220"/>
    <x v="55"/>
    <d v="2025-02-28T00:00:00"/>
    <x v="2"/>
    <x v="1"/>
    <x v="0"/>
    <x v="0"/>
    <x v="19"/>
    <x v="2"/>
    <x v="8"/>
    <x v="2"/>
  </r>
  <r>
    <s v="TX501504"/>
    <x v="13"/>
    <x v="14"/>
    <n v="17.5"/>
    <x v="1221"/>
    <x v="55"/>
    <d v="2025-02-26T00:00:00"/>
    <x v="1"/>
    <x v="1"/>
    <x v="1"/>
    <x v="0"/>
    <x v="13"/>
    <x v="3"/>
    <x v="8"/>
    <x v="1"/>
  </r>
  <r>
    <s v="TX501505"/>
    <x v="12"/>
    <x v="1"/>
    <n v="53.8"/>
    <x v="799"/>
    <x v="55"/>
    <d v="2025-03-02T00:00:00"/>
    <x v="2"/>
    <x v="0"/>
    <x v="2"/>
    <x v="0"/>
    <x v="21"/>
    <x v="0"/>
    <x v="8"/>
    <x v="2"/>
  </r>
  <r>
    <s v="TX501506"/>
    <x v="19"/>
    <x v="1"/>
    <n v="17"/>
    <x v="1222"/>
    <x v="55"/>
    <d v="2025-02-26T00:00:00"/>
    <x v="1"/>
    <x v="3"/>
    <x v="0"/>
    <x v="0"/>
    <x v="21"/>
    <x v="3"/>
    <x v="8"/>
    <x v="1"/>
  </r>
  <r>
    <s v="TX501507"/>
    <x v="6"/>
    <x v="0"/>
    <n v="103.2"/>
    <x v="1223"/>
    <x v="55"/>
    <d v="2025-03-05T00:00:00"/>
    <x v="1"/>
    <x v="2"/>
    <x v="1"/>
    <x v="0"/>
    <x v="1"/>
    <x v="9"/>
    <x v="8"/>
    <x v="1"/>
  </r>
  <r>
    <s v="TX501508"/>
    <x v="6"/>
    <x v="12"/>
    <n v="70.3"/>
    <x v="552"/>
    <x v="55"/>
    <d v="2025-02-26T00:00:00"/>
    <x v="1"/>
    <x v="0"/>
    <x v="0"/>
    <x v="0"/>
    <x v="3"/>
    <x v="3"/>
    <x v="8"/>
    <x v="1"/>
  </r>
  <r>
    <s v="TX501509"/>
    <x v="2"/>
    <x v="1"/>
    <n v="73.8"/>
    <x v="1224"/>
    <x v="55"/>
    <d v="2025-02-25T00:00:00"/>
    <x v="1"/>
    <x v="3"/>
    <x v="2"/>
    <x v="0"/>
    <x v="3"/>
    <x v="7"/>
    <x v="8"/>
    <x v="1"/>
  </r>
  <r>
    <s v="TX501510"/>
    <x v="1"/>
    <x v="4"/>
    <n v="67.7"/>
    <x v="1225"/>
    <x v="55"/>
    <d v="2025-03-01T00:00:00"/>
    <x v="1"/>
    <x v="1"/>
    <x v="1"/>
    <x v="0"/>
    <x v="3"/>
    <x v="5"/>
    <x v="8"/>
    <x v="1"/>
  </r>
  <r>
    <s v="TX501511"/>
    <x v="13"/>
    <x v="3"/>
    <n v="43.8"/>
    <x v="1226"/>
    <x v="55"/>
    <d v="2025-02-27T00:00:00"/>
    <x v="1"/>
    <x v="1"/>
    <x v="0"/>
    <x v="0"/>
    <x v="3"/>
    <x v="1"/>
    <x v="8"/>
    <x v="1"/>
  </r>
  <r>
    <s v="TX501512"/>
    <x v="17"/>
    <x v="13"/>
    <n v="71.900000000000006"/>
    <x v="1227"/>
    <x v="55"/>
    <d v="2025-02-26T00:00:00"/>
    <x v="2"/>
    <x v="2"/>
    <x v="0"/>
    <x v="0"/>
    <x v="3"/>
    <x v="3"/>
    <x v="8"/>
    <x v="2"/>
  </r>
  <r>
    <s v="TX501513"/>
    <x v="8"/>
    <x v="1"/>
    <n v="26.3"/>
    <x v="1228"/>
    <x v="56"/>
    <d v="2025-02-28T00:00:00"/>
    <x v="2"/>
    <x v="0"/>
    <x v="1"/>
    <x v="0"/>
    <x v="3"/>
    <x v="1"/>
    <x v="8"/>
    <x v="2"/>
  </r>
  <r>
    <s v="TX501514"/>
    <x v="6"/>
    <x v="12"/>
    <n v="52.6"/>
    <x v="138"/>
    <x v="56"/>
    <d v="2025-02-28T00:00:00"/>
    <x v="2"/>
    <x v="2"/>
    <x v="1"/>
    <x v="0"/>
    <x v="3"/>
    <x v="1"/>
    <x v="8"/>
    <x v="2"/>
  </r>
  <r>
    <s v="TX501515"/>
    <x v="10"/>
    <x v="0"/>
    <n v="32.700000000000003"/>
    <x v="1229"/>
    <x v="56"/>
    <d v="2025-03-05T00:00:00"/>
    <x v="2"/>
    <x v="0"/>
    <x v="2"/>
    <x v="0"/>
    <x v="3"/>
    <x v="6"/>
    <x v="8"/>
    <x v="2"/>
  </r>
  <r>
    <s v="TX501516"/>
    <x v="5"/>
    <x v="12"/>
    <n v="38.9"/>
    <x v="1230"/>
    <x v="56"/>
    <d v="2025-02-27T00:00:00"/>
    <x v="2"/>
    <x v="0"/>
    <x v="0"/>
    <x v="0"/>
    <x v="3"/>
    <x v="3"/>
    <x v="8"/>
    <x v="2"/>
  </r>
  <r>
    <s v="TX501517"/>
    <x v="9"/>
    <x v="9"/>
    <n v="35"/>
    <x v="25"/>
    <x v="56"/>
    <d v="2025-02-28T00:00:00"/>
    <x v="1"/>
    <x v="0"/>
    <x v="0"/>
    <x v="0"/>
    <x v="3"/>
    <x v="1"/>
    <x v="8"/>
    <x v="1"/>
  </r>
  <r>
    <s v="TX501518"/>
    <x v="2"/>
    <x v="1"/>
    <n v="121"/>
    <x v="1231"/>
    <x v="56"/>
    <d v="2025-02-27T00:00:00"/>
    <x v="2"/>
    <x v="1"/>
    <x v="1"/>
    <x v="0"/>
    <x v="3"/>
    <x v="3"/>
    <x v="8"/>
    <x v="2"/>
  </r>
  <r>
    <s v="TX501519"/>
    <x v="6"/>
    <x v="2"/>
    <n v="65.099999999999994"/>
    <x v="1174"/>
    <x v="56"/>
    <d v="2025-03-02T00:00:00"/>
    <x v="1"/>
    <x v="2"/>
    <x v="0"/>
    <x v="0"/>
    <x v="36"/>
    <x v="5"/>
    <x v="8"/>
    <x v="1"/>
  </r>
  <r>
    <s v="TX501520"/>
    <x v="1"/>
    <x v="38"/>
    <n v="63.8"/>
    <x v="1232"/>
    <x v="56"/>
    <d v="2025-02-28T00:00:00"/>
    <x v="2"/>
    <x v="0"/>
    <x v="0"/>
    <x v="0"/>
    <x v="8"/>
    <x v="1"/>
    <x v="8"/>
    <x v="2"/>
  </r>
  <r>
    <s v="TX501521"/>
    <x v="7"/>
    <x v="0"/>
    <n v="77.7"/>
    <x v="1233"/>
    <x v="56"/>
    <d v="2025-02-28T00:00:00"/>
    <x v="1"/>
    <x v="0"/>
    <x v="0"/>
    <x v="0"/>
    <x v="8"/>
    <x v="1"/>
    <x v="8"/>
    <x v="1"/>
  </r>
  <r>
    <s v="TX501522"/>
    <x v="5"/>
    <x v="12"/>
    <n v="60.3"/>
    <x v="1234"/>
    <x v="56"/>
    <d v="2025-02-26T00:00:00"/>
    <x v="1"/>
    <x v="0"/>
    <x v="2"/>
    <x v="0"/>
    <x v="8"/>
    <x v="7"/>
    <x v="8"/>
    <x v="1"/>
  </r>
  <r>
    <s v="TX501523"/>
    <x v="5"/>
    <x v="1"/>
    <n v="124.1"/>
    <x v="1235"/>
    <x v="56"/>
    <d v="2025-03-01T00:00:00"/>
    <x v="2"/>
    <x v="0"/>
    <x v="2"/>
    <x v="0"/>
    <x v="8"/>
    <x v="2"/>
    <x v="8"/>
    <x v="2"/>
  </r>
  <r>
    <s v="TX501524"/>
    <x v="16"/>
    <x v="3"/>
    <n v="66"/>
    <x v="1236"/>
    <x v="56"/>
    <d v="2025-02-26T00:00:00"/>
    <x v="0"/>
    <x v="3"/>
    <x v="0"/>
    <x v="0"/>
    <x v="17"/>
    <x v="7"/>
    <x v="8"/>
    <x v="0"/>
  </r>
  <r>
    <s v="TX501525"/>
    <x v="2"/>
    <x v="42"/>
    <n v="118.2"/>
    <x v="1237"/>
    <x v="56"/>
    <d v="2025-03-03T00:00:00"/>
    <x v="0"/>
    <x v="0"/>
    <x v="0"/>
    <x v="0"/>
    <x v="17"/>
    <x v="0"/>
    <x v="8"/>
    <x v="0"/>
  </r>
  <r>
    <s v="TX501526"/>
    <x v="5"/>
    <x v="9"/>
    <n v="64.3"/>
    <x v="1238"/>
    <x v="56"/>
    <d v="2025-02-27T00:00:00"/>
    <x v="1"/>
    <x v="4"/>
    <x v="4"/>
    <x v="0"/>
    <x v="26"/>
    <x v="3"/>
    <x v="8"/>
    <x v="1"/>
  </r>
  <r>
    <s v="TX501527"/>
    <x v="1"/>
    <x v="1"/>
    <n v="54.8"/>
    <x v="1239"/>
    <x v="56"/>
    <d v="2025-02-26T00:00:00"/>
    <x v="1"/>
    <x v="0"/>
    <x v="1"/>
    <x v="0"/>
    <x v="26"/>
    <x v="7"/>
    <x v="8"/>
    <x v="1"/>
  </r>
  <r>
    <s v="TX501528"/>
    <x v="7"/>
    <x v="1"/>
    <n v="78.599999999999994"/>
    <x v="507"/>
    <x v="56"/>
    <d v="2025-02-27T00:00:00"/>
    <x v="1"/>
    <x v="0"/>
    <x v="2"/>
    <x v="0"/>
    <x v="9"/>
    <x v="3"/>
    <x v="8"/>
    <x v="1"/>
  </r>
  <r>
    <s v="TX501529"/>
    <x v="2"/>
    <x v="9"/>
    <n v="158.5"/>
    <x v="1240"/>
    <x v="56"/>
    <d v="2025-02-28T00:00:00"/>
    <x v="0"/>
    <x v="2"/>
    <x v="2"/>
    <x v="0"/>
    <x v="9"/>
    <x v="1"/>
    <x v="8"/>
    <x v="0"/>
  </r>
  <r>
    <s v="TX501530"/>
    <x v="4"/>
    <x v="7"/>
    <n v="23.5"/>
    <x v="666"/>
    <x v="56"/>
    <d v="2025-03-01T00:00:00"/>
    <x v="1"/>
    <x v="0"/>
    <x v="4"/>
    <x v="0"/>
    <x v="10"/>
    <x v="2"/>
    <x v="8"/>
    <x v="1"/>
  </r>
  <r>
    <s v="TX501531"/>
    <x v="5"/>
    <x v="1"/>
    <n v="32.1"/>
    <x v="1005"/>
    <x v="56"/>
    <d v="2025-02-28T00:00:00"/>
    <x v="0"/>
    <x v="3"/>
    <x v="0"/>
    <x v="0"/>
    <x v="10"/>
    <x v="1"/>
    <x v="8"/>
    <x v="0"/>
  </r>
  <r>
    <s v="TX501532"/>
    <x v="17"/>
    <x v="12"/>
    <n v="71.900000000000006"/>
    <x v="1241"/>
    <x v="56"/>
    <d v="2025-02-26T00:00:00"/>
    <x v="1"/>
    <x v="2"/>
    <x v="0"/>
    <x v="0"/>
    <x v="19"/>
    <x v="7"/>
    <x v="8"/>
    <x v="1"/>
  </r>
  <r>
    <s v="TX501533"/>
    <x v="4"/>
    <x v="13"/>
    <n v="22.3"/>
    <x v="981"/>
    <x v="56"/>
    <d v="2025-02-27T00:00:00"/>
    <x v="0"/>
    <x v="3"/>
    <x v="2"/>
    <x v="0"/>
    <x v="13"/>
    <x v="3"/>
    <x v="8"/>
    <x v="0"/>
  </r>
  <r>
    <s v="TX501534"/>
    <x v="11"/>
    <x v="1"/>
    <n v="29.5"/>
    <x v="1242"/>
    <x v="56"/>
    <d v="2025-02-27T00:00:00"/>
    <x v="2"/>
    <x v="0"/>
    <x v="2"/>
    <x v="0"/>
    <x v="13"/>
    <x v="3"/>
    <x v="8"/>
    <x v="2"/>
  </r>
  <r>
    <s v="TX501535"/>
    <x v="6"/>
    <x v="12"/>
    <n v="41.9"/>
    <x v="1243"/>
    <x v="56"/>
    <d v="2025-03-02T00:00:00"/>
    <x v="2"/>
    <x v="0"/>
    <x v="1"/>
    <x v="0"/>
    <x v="21"/>
    <x v="5"/>
    <x v="8"/>
    <x v="2"/>
  </r>
  <r>
    <s v="TX501536"/>
    <x v="6"/>
    <x v="2"/>
    <n v="107.8"/>
    <x v="1244"/>
    <x v="56"/>
    <d v="2025-02-27T00:00:00"/>
    <x v="1"/>
    <x v="1"/>
    <x v="2"/>
    <x v="0"/>
    <x v="46"/>
    <x v="3"/>
    <x v="8"/>
    <x v="1"/>
  </r>
  <r>
    <s v="TX501537"/>
    <x v="4"/>
    <x v="9"/>
    <n v="18.100000000000001"/>
    <x v="497"/>
    <x v="56"/>
    <d v="2025-03-01T00:00:00"/>
    <x v="1"/>
    <x v="0"/>
    <x v="2"/>
    <x v="0"/>
    <x v="2"/>
    <x v="2"/>
    <x v="8"/>
    <x v="1"/>
  </r>
  <r>
    <s v="TX501538"/>
    <x v="12"/>
    <x v="11"/>
    <n v="79.8"/>
    <x v="1245"/>
    <x v="56"/>
    <d v="2025-02-27T00:00:00"/>
    <x v="2"/>
    <x v="1"/>
    <x v="1"/>
    <x v="0"/>
    <x v="22"/>
    <x v="3"/>
    <x v="8"/>
    <x v="2"/>
  </r>
  <r>
    <s v="TX501539"/>
    <x v="0"/>
    <x v="2"/>
    <n v="22.3"/>
    <x v="884"/>
    <x v="56"/>
    <d v="2025-03-01T00:00:00"/>
    <x v="2"/>
    <x v="0"/>
    <x v="2"/>
    <x v="0"/>
    <x v="22"/>
    <x v="2"/>
    <x v="8"/>
    <x v="2"/>
  </r>
  <r>
    <s v="TX501540"/>
    <x v="8"/>
    <x v="0"/>
    <n v="22.9"/>
    <x v="1246"/>
    <x v="56"/>
    <d v="2025-02-26T00:00:00"/>
    <x v="2"/>
    <x v="1"/>
    <x v="0"/>
    <x v="0"/>
    <x v="22"/>
    <x v="7"/>
    <x v="8"/>
    <x v="2"/>
  </r>
  <r>
    <s v="TX501541"/>
    <x v="0"/>
    <x v="2"/>
    <n v="16.2"/>
    <x v="1247"/>
    <x v="57"/>
    <d v="2025-02-27T00:00:00"/>
    <x v="1"/>
    <x v="4"/>
    <x v="2"/>
    <x v="0"/>
    <x v="3"/>
    <x v="7"/>
    <x v="8"/>
    <x v="1"/>
  </r>
  <r>
    <s v="TX501542"/>
    <x v="10"/>
    <x v="12"/>
    <n v="59.5"/>
    <x v="1248"/>
    <x v="57"/>
    <d v="2025-02-28T00:00:00"/>
    <x v="1"/>
    <x v="1"/>
    <x v="2"/>
    <x v="0"/>
    <x v="3"/>
    <x v="3"/>
    <x v="8"/>
    <x v="1"/>
  </r>
  <r>
    <s v="TX501543"/>
    <x v="18"/>
    <x v="9"/>
    <n v="26.2"/>
    <x v="1249"/>
    <x v="57"/>
    <d v="2025-03-02T00:00:00"/>
    <x v="1"/>
    <x v="3"/>
    <x v="4"/>
    <x v="0"/>
    <x v="3"/>
    <x v="2"/>
    <x v="8"/>
    <x v="1"/>
  </r>
  <r>
    <s v="TX501544"/>
    <x v="3"/>
    <x v="0"/>
    <n v="44.2"/>
    <x v="573"/>
    <x v="57"/>
    <d v="2025-03-02T00:00:00"/>
    <x v="2"/>
    <x v="1"/>
    <x v="0"/>
    <x v="0"/>
    <x v="3"/>
    <x v="2"/>
    <x v="8"/>
    <x v="2"/>
  </r>
  <r>
    <s v="TX501545"/>
    <x v="9"/>
    <x v="1"/>
    <n v="59.2"/>
    <x v="1250"/>
    <x v="57"/>
    <d v="2025-02-27T00:00:00"/>
    <x v="2"/>
    <x v="1"/>
    <x v="4"/>
    <x v="0"/>
    <x v="3"/>
    <x v="7"/>
    <x v="8"/>
    <x v="2"/>
  </r>
  <r>
    <s v="TX501546"/>
    <x v="15"/>
    <x v="12"/>
    <n v="41.5"/>
    <x v="1251"/>
    <x v="57"/>
    <d v="2025-03-01T00:00:00"/>
    <x v="2"/>
    <x v="0"/>
    <x v="0"/>
    <x v="0"/>
    <x v="16"/>
    <x v="1"/>
    <x v="8"/>
    <x v="2"/>
  </r>
  <r>
    <s v="TX501547"/>
    <x v="6"/>
    <x v="4"/>
    <n v="67.099999999999994"/>
    <x v="1252"/>
    <x v="57"/>
    <d v="2025-03-13T00:00:00"/>
    <x v="2"/>
    <x v="0"/>
    <x v="2"/>
    <x v="0"/>
    <x v="23"/>
    <x v="12"/>
    <x v="8"/>
    <x v="2"/>
  </r>
  <r>
    <s v="TX501548"/>
    <x v="8"/>
    <x v="1"/>
    <n v="28.7"/>
    <x v="1253"/>
    <x v="57"/>
    <d v="2025-03-03T00:00:00"/>
    <x v="2"/>
    <x v="1"/>
    <x v="0"/>
    <x v="0"/>
    <x v="6"/>
    <x v="5"/>
    <x v="8"/>
    <x v="2"/>
  </r>
  <r>
    <s v="TX501549"/>
    <x v="2"/>
    <x v="12"/>
    <n v="132.1"/>
    <x v="1254"/>
    <x v="57"/>
    <d v="2025-02-28T00:00:00"/>
    <x v="2"/>
    <x v="0"/>
    <x v="1"/>
    <x v="0"/>
    <x v="6"/>
    <x v="3"/>
    <x v="8"/>
    <x v="2"/>
  </r>
  <r>
    <s v="TX501550"/>
    <x v="18"/>
    <x v="1"/>
    <n v="47"/>
    <x v="255"/>
    <x v="57"/>
    <d v="2025-03-01T00:00:00"/>
    <x v="1"/>
    <x v="4"/>
    <x v="0"/>
    <x v="0"/>
    <x v="8"/>
    <x v="1"/>
    <x v="8"/>
    <x v="1"/>
  </r>
  <r>
    <s v="TX501551"/>
    <x v="8"/>
    <x v="1"/>
    <n v="41.6"/>
    <x v="707"/>
    <x v="57"/>
    <d v="2025-03-03T00:00:00"/>
    <x v="1"/>
    <x v="1"/>
    <x v="2"/>
    <x v="0"/>
    <x v="8"/>
    <x v="5"/>
    <x v="8"/>
    <x v="1"/>
  </r>
  <r>
    <s v="TX501552"/>
    <x v="8"/>
    <x v="43"/>
    <n v="17.3"/>
    <x v="1255"/>
    <x v="57"/>
    <d v="2025-03-01T00:00:00"/>
    <x v="1"/>
    <x v="2"/>
    <x v="2"/>
    <x v="0"/>
    <x v="8"/>
    <x v="1"/>
    <x v="8"/>
    <x v="1"/>
  </r>
  <r>
    <s v="TX501553"/>
    <x v="13"/>
    <x v="2"/>
    <n v="41.8"/>
    <x v="352"/>
    <x v="57"/>
    <d v="2025-03-02T00:00:00"/>
    <x v="1"/>
    <x v="0"/>
    <x v="2"/>
    <x v="0"/>
    <x v="8"/>
    <x v="2"/>
    <x v="8"/>
    <x v="1"/>
  </r>
  <r>
    <s v="TX501554"/>
    <x v="10"/>
    <x v="0"/>
    <n v="24"/>
    <x v="835"/>
    <x v="57"/>
    <d v="2025-02-28T00:00:00"/>
    <x v="2"/>
    <x v="0"/>
    <x v="0"/>
    <x v="0"/>
    <x v="17"/>
    <x v="3"/>
    <x v="8"/>
    <x v="2"/>
  </r>
  <r>
    <s v="TX501555"/>
    <x v="14"/>
    <x v="11"/>
    <n v="18.5"/>
    <x v="1256"/>
    <x v="57"/>
    <d v="2025-03-01T00:00:00"/>
    <x v="2"/>
    <x v="0"/>
    <x v="0"/>
    <x v="0"/>
    <x v="9"/>
    <x v="1"/>
    <x v="8"/>
    <x v="2"/>
  </r>
  <r>
    <s v="TX501556"/>
    <x v="3"/>
    <x v="4"/>
    <n v="66.7"/>
    <x v="1257"/>
    <x v="57"/>
    <d v="2025-03-02T00:00:00"/>
    <x v="0"/>
    <x v="0"/>
    <x v="2"/>
    <x v="0"/>
    <x v="11"/>
    <x v="2"/>
    <x v="8"/>
    <x v="0"/>
  </r>
  <r>
    <s v="TX501557"/>
    <x v="1"/>
    <x v="12"/>
    <n v="33.1"/>
    <x v="979"/>
    <x v="57"/>
    <d v="2025-03-04T00:00:00"/>
    <x v="1"/>
    <x v="3"/>
    <x v="0"/>
    <x v="0"/>
    <x v="11"/>
    <x v="0"/>
    <x v="8"/>
    <x v="1"/>
  </r>
  <r>
    <s v="TX501558"/>
    <x v="19"/>
    <x v="11"/>
    <n v="42.1"/>
    <x v="1258"/>
    <x v="57"/>
    <d v="2025-03-10T00:00:00"/>
    <x v="1"/>
    <x v="1"/>
    <x v="0"/>
    <x v="0"/>
    <x v="18"/>
    <x v="11"/>
    <x v="8"/>
    <x v="1"/>
  </r>
  <r>
    <s v="TX501559"/>
    <x v="18"/>
    <x v="3"/>
    <n v="58.7"/>
    <x v="1259"/>
    <x v="57"/>
    <d v="2025-02-27T00:00:00"/>
    <x v="3"/>
    <x v="3"/>
    <x v="0"/>
    <x v="0"/>
    <x v="31"/>
    <x v="7"/>
    <x v="8"/>
    <x v="3"/>
  </r>
  <r>
    <s v="TX501560"/>
    <x v="6"/>
    <x v="12"/>
    <n v="54"/>
    <x v="760"/>
    <x v="57"/>
    <d v="2025-03-01T00:00:00"/>
    <x v="2"/>
    <x v="1"/>
    <x v="0"/>
    <x v="0"/>
    <x v="1"/>
    <x v="1"/>
    <x v="8"/>
    <x v="2"/>
  </r>
  <r>
    <s v="TX501561"/>
    <x v="8"/>
    <x v="0"/>
    <n v="52.1"/>
    <x v="475"/>
    <x v="57"/>
    <d v="2025-02-28T00:00:00"/>
    <x v="2"/>
    <x v="2"/>
    <x v="2"/>
    <x v="0"/>
    <x v="2"/>
    <x v="3"/>
    <x v="8"/>
    <x v="2"/>
  </r>
  <r>
    <s v="TX501562"/>
    <x v="19"/>
    <x v="1"/>
    <n v="27"/>
    <x v="1260"/>
    <x v="57"/>
    <d v="2025-03-02T00:00:00"/>
    <x v="3"/>
    <x v="2"/>
    <x v="0"/>
    <x v="0"/>
    <x v="22"/>
    <x v="2"/>
    <x v="8"/>
    <x v="3"/>
  </r>
  <r>
    <s v="TX501563"/>
    <x v="12"/>
    <x v="7"/>
    <n v="31"/>
    <x v="892"/>
    <x v="58"/>
    <d v="2025-03-01T00:00:00"/>
    <x v="2"/>
    <x v="3"/>
    <x v="2"/>
    <x v="0"/>
    <x v="22"/>
    <x v="3"/>
    <x v="8"/>
    <x v="2"/>
  </r>
  <r>
    <s v="TX501564"/>
    <x v="10"/>
    <x v="1"/>
    <n v="46.7"/>
    <x v="1261"/>
    <x v="58"/>
    <d v="2025-02-28T00:00:00"/>
    <x v="2"/>
    <x v="0"/>
    <x v="0"/>
    <x v="0"/>
    <x v="34"/>
    <x v="7"/>
    <x v="8"/>
    <x v="2"/>
  </r>
  <r>
    <s v="TX501565"/>
    <x v="6"/>
    <x v="0"/>
    <n v="144.69999999999999"/>
    <x v="1262"/>
    <x v="58"/>
    <d v="2025-03-03T00:00:00"/>
    <x v="1"/>
    <x v="0"/>
    <x v="2"/>
    <x v="0"/>
    <x v="3"/>
    <x v="2"/>
    <x v="8"/>
    <x v="1"/>
  </r>
  <r>
    <s v="TX501566"/>
    <x v="2"/>
    <x v="11"/>
    <n v="90.9"/>
    <x v="1263"/>
    <x v="58"/>
    <d v="2025-03-01T00:00:00"/>
    <x v="1"/>
    <x v="0"/>
    <x v="2"/>
    <x v="0"/>
    <x v="3"/>
    <x v="3"/>
    <x v="8"/>
    <x v="1"/>
  </r>
  <r>
    <s v="TX501567"/>
    <x v="1"/>
    <x v="1"/>
    <n v="75.8"/>
    <x v="318"/>
    <x v="58"/>
    <d v="2025-03-01T00:00:00"/>
    <x v="2"/>
    <x v="2"/>
    <x v="1"/>
    <x v="0"/>
    <x v="3"/>
    <x v="3"/>
    <x v="8"/>
    <x v="2"/>
  </r>
  <r>
    <s v="TX501568"/>
    <x v="7"/>
    <x v="9"/>
    <n v="57.9"/>
    <x v="1264"/>
    <x v="58"/>
    <d v="2025-03-02T00:00:00"/>
    <x v="1"/>
    <x v="2"/>
    <x v="2"/>
    <x v="0"/>
    <x v="3"/>
    <x v="1"/>
    <x v="8"/>
    <x v="1"/>
  </r>
  <r>
    <s v="TX501569"/>
    <x v="8"/>
    <x v="9"/>
    <n v="44.8"/>
    <x v="692"/>
    <x v="58"/>
    <d v="2025-03-01T00:00:00"/>
    <x v="2"/>
    <x v="3"/>
    <x v="2"/>
    <x v="0"/>
    <x v="3"/>
    <x v="3"/>
    <x v="8"/>
    <x v="2"/>
  </r>
  <r>
    <s v="TX501570"/>
    <x v="9"/>
    <x v="2"/>
    <n v="44.2"/>
    <x v="1265"/>
    <x v="58"/>
    <d v="2025-03-04T00:00:00"/>
    <x v="1"/>
    <x v="2"/>
    <x v="2"/>
    <x v="0"/>
    <x v="3"/>
    <x v="5"/>
    <x v="8"/>
    <x v="1"/>
  </r>
  <r>
    <s v="TX501571"/>
    <x v="5"/>
    <x v="9"/>
    <n v="53.5"/>
    <x v="1266"/>
    <x v="58"/>
    <d v="2025-03-02T00:00:00"/>
    <x v="1"/>
    <x v="0"/>
    <x v="0"/>
    <x v="0"/>
    <x v="37"/>
    <x v="1"/>
    <x v="8"/>
    <x v="1"/>
  </r>
  <r>
    <s v="TX501572"/>
    <x v="6"/>
    <x v="1"/>
    <n v="72.2"/>
    <x v="613"/>
    <x v="58"/>
    <d v="2025-03-01T00:00:00"/>
    <x v="1"/>
    <x v="0"/>
    <x v="2"/>
    <x v="0"/>
    <x v="25"/>
    <x v="3"/>
    <x v="8"/>
    <x v="1"/>
  </r>
  <r>
    <s v="TX501573"/>
    <x v="6"/>
    <x v="12"/>
    <n v="62.4"/>
    <x v="1267"/>
    <x v="58"/>
    <d v="2025-03-03T00:00:00"/>
    <x v="2"/>
    <x v="0"/>
    <x v="1"/>
    <x v="0"/>
    <x v="23"/>
    <x v="2"/>
    <x v="8"/>
    <x v="2"/>
  </r>
  <r>
    <s v="TX501574"/>
    <x v="10"/>
    <x v="9"/>
    <n v="24.7"/>
    <x v="1268"/>
    <x v="58"/>
    <d v="2025-03-01T00:00:00"/>
    <x v="2"/>
    <x v="0"/>
    <x v="0"/>
    <x v="0"/>
    <x v="6"/>
    <x v="3"/>
    <x v="8"/>
    <x v="2"/>
  </r>
  <r>
    <s v="TX501575"/>
    <x v="1"/>
    <x v="9"/>
    <n v="61.7"/>
    <x v="1269"/>
    <x v="58"/>
    <d v="2025-03-02T00:00:00"/>
    <x v="2"/>
    <x v="2"/>
    <x v="0"/>
    <x v="0"/>
    <x v="8"/>
    <x v="1"/>
    <x v="8"/>
    <x v="2"/>
  </r>
  <r>
    <s v="TX501576"/>
    <x v="8"/>
    <x v="9"/>
    <n v="18.2"/>
    <x v="1270"/>
    <x v="58"/>
    <d v="2025-03-02T00:00:00"/>
    <x v="2"/>
    <x v="3"/>
    <x v="0"/>
    <x v="0"/>
    <x v="8"/>
    <x v="1"/>
    <x v="8"/>
    <x v="2"/>
  </r>
  <r>
    <s v="TX501577"/>
    <x v="10"/>
    <x v="12"/>
    <n v="37.200000000000003"/>
    <x v="956"/>
    <x v="58"/>
    <d v="2025-03-06T00:00:00"/>
    <x v="2"/>
    <x v="0"/>
    <x v="0"/>
    <x v="0"/>
    <x v="8"/>
    <x v="4"/>
    <x v="8"/>
    <x v="2"/>
  </r>
  <r>
    <s v="TX501578"/>
    <x v="9"/>
    <x v="2"/>
    <n v="53.5"/>
    <x v="1271"/>
    <x v="58"/>
    <d v="2025-03-02T00:00:00"/>
    <x v="2"/>
    <x v="1"/>
    <x v="2"/>
    <x v="0"/>
    <x v="9"/>
    <x v="1"/>
    <x v="8"/>
    <x v="2"/>
  </r>
  <r>
    <s v="TX501579"/>
    <x v="8"/>
    <x v="2"/>
    <n v="43.6"/>
    <x v="1272"/>
    <x v="58"/>
    <d v="2025-02-28T00:00:00"/>
    <x v="2"/>
    <x v="0"/>
    <x v="0"/>
    <x v="0"/>
    <x v="9"/>
    <x v="7"/>
    <x v="8"/>
    <x v="2"/>
  </r>
  <r>
    <s v="TX501580"/>
    <x v="1"/>
    <x v="7"/>
    <n v="135"/>
    <x v="1273"/>
    <x v="58"/>
    <d v="2025-03-02T00:00:00"/>
    <x v="2"/>
    <x v="0"/>
    <x v="2"/>
    <x v="0"/>
    <x v="9"/>
    <x v="1"/>
    <x v="8"/>
    <x v="2"/>
  </r>
  <r>
    <s v="TX501581"/>
    <x v="8"/>
    <x v="9"/>
    <n v="38.5"/>
    <x v="796"/>
    <x v="58"/>
    <d v="2025-02-28T00:00:00"/>
    <x v="1"/>
    <x v="4"/>
    <x v="2"/>
    <x v="0"/>
    <x v="10"/>
    <x v="7"/>
    <x v="8"/>
    <x v="1"/>
  </r>
  <r>
    <s v="TX501582"/>
    <x v="9"/>
    <x v="1"/>
    <n v="24"/>
    <x v="510"/>
    <x v="58"/>
    <d v="2025-03-05T00:00:00"/>
    <x v="2"/>
    <x v="0"/>
    <x v="0"/>
    <x v="0"/>
    <x v="11"/>
    <x v="0"/>
    <x v="8"/>
    <x v="2"/>
  </r>
  <r>
    <s v="TX501583"/>
    <x v="4"/>
    <x v="2"/>
    <n v="28.2"/>
    <x v="1274"/>
    <x v="58"/>
    <d v="2025-03-02T00:00:00"/>
    <x v="1"/>
    <x v="0"/>
    <x v="3"/>
    <x v="0"/>
    <x v="18"/>
    <x v="1"/>
    <x v="8"/>
    <x v="1"/>
  </r>
  <r>
    <s v="TX501584"/>
    <x v="7"/>
    <x v="2"/>
    <n v="37.4"/>
    <x v="794"/>
    <x v="58"/>
    <d v="2025-03-01T00:00:00"/>
    <x v="2"/>
    <x v="3"/>
    <x v="0"/>
    <x v="0"/>
    <x v="1"/>
    <x v="3"/>
    <x v="8"/>
    <x v="2"/>
  </r>
  <r>
    <s v="TX501585"/>
    <x v="6"/>
    <x v="2"/>
    <n v="53.5"/>
    <x v="1271"/>
    <x v="58"/>
    <d v="2025-03-03T00:00:00"/>
    <x v="0"/>
    <x v="4"/>
    <x v="4"/>
    <x v="0"/>
    <x v="1"/>
    <x v="2"/>
    <x v="8"/>
    <x v="0"/>
  </r>
  <r>
    <s v="TX501586"/>
    <x v="11"/>
    <x v="9"/>
    <n v="36.200000000000003"/>
    <x v="1275"/>
    <x v="58"/>
    <d v="2025-03-01T00:00:00"/>
    <x v="1"/>
    <x v="1"/>
    <x v="2"/>
    <x v="0"/>
    <x v="33"/>
    <x v="3"/>
    <x v="8"/>
    <x v="1"/>
  </r>
  <r>
    <s v="TX501587"/>
    <x v="0"/>
    <x v="8"/>
    <n v="31.9"/>
    <x v="281"/>
    <x v="58"/>
    <d v="2025-03-01T00:00:00"/>
    <x v="2"/>
    <x v="4"/>
    <x v="0"/>
    <x v="0"/>
    <x v="3"/>
    <x v="3"/>
    <x v="8"/>
    <x v="2"/>
  </r>
  <r>
    <s v="TX501588"/>
    <x v="8"/>
    <x v="2"/>
    <n v="21.3"/>
    <x v="1276"/>
    <x v="58"/>
    <d v="2025-03-01T00:00:00"/>
    <x v="1"/>
    <x v="0"/>
    <x v="2"/>
    <x v="0"/>
    <x v="3"/>
    <x v="3"/>
    <x v="8"/>
    <x v="1"/>
  </r>
  <r>
    <s v="TX501589"/>
    <x v="8"/>
    <x v="0"/>
    <n v="36.299999999999997"/>
    <x v="1277"/>
    <x v="58"/>
    <d v="2025-03-02T00:00:00"/>
    <x v="3"/>
    <x v="4"/>
    <x v="0"/>
    <x v="0"/>
    <x v="3"/>
    <x v="1"/>
    <x v="8"/>
    <x v="3"/>
  </r>
  <r>
    <s v="TX501590"/>
    <x v="6"/>
    <x v="2"/>
    <n v="110.5"/>
    <x v="1278"/>
    <x v="58"/>
    <d v="2025-03-01T00:00:00"/>
    <x v="2"/>
    <x v="0"/>
    <x v="3"/>
    <x v="0"/>
    <x v="3"/>
    <x v="3"/>
    <x v="8"/>
    <x v="2"/>
  </r>
  <r>
    <s v="TX501591"/>
    <x v="10"/>
    <x v="3"/>
    <n v="32.6"/>
    <x v="1279"/>
    <x v="58"/>
    <d v="2025-03-02T00:00:00"/>
    <x v="2"/>
    <x v="0"/>
    <x v="1"/>
    <x v="0"/>
    <x v="3"/>
    <x v="1"/>
    <x v="8"/>
    <x v="2"/>
  </r>
  <r>
    <s v="TX501592"/>
    <x v="5"/>
    <x v="2"/>
    <n v="55.6"/>
    <x v="701"/>
    <x v="59"/>
    <d v="2025-03-14T00:00:00"/>
    <x v="2"/>
    <x v="0"/>
    <x v="0"/>
    <x v="0"/>
    <x v="3"/>
    <x v="10"/>
    <x v="8"/>
    <x v="2"/>
  </r>
  <r>
    <s v="TX501593"/>
    <x v="1"/>
    <x v="12"/>
    <n v="38"/>
    <x v="465"/>
    <x v="59"/>
    <d v="2025-03-02T00:00:00"/>
    <x v="2"/>
    <x v="3"/>
    <x v="2"/>
    <x v="0"/>
    <x v="5"/>
    <x v="3"/>
    <x v="8"/>
    <x v="2"/>
  </r>
  <r>
    <s v="TX501594"/>
    <x v="10"/>
    <x v="1"/>
    <n v="51.8"/>
    <x v="186"/>
    <x v="59"/>
    <d v="2025-03-07T00:00:00"/>
    <x v="1"/>
    <x v="1"/>
    <x v="4"/>
    <x v="0"/>
    <x v="6"/>
    <x v="4"/>
    <x v="8"/>
    <x v="1"/>
  </r>
  <r>
    <s v="TX501595"/>
    <x v="11"/>
    <x v="8"/>
    <n v="28.7"/>
    <x v="1166"/>
    <x v="59"/>
    <d v="2025-03-06T00:00:00"/>
    <x v="2"/>
    <x v="0"/>
    <x v="0"/>
    <x v="0"/>
    <x v="6"/>
    <x v="0"/>
    <x v="8"/>
    <x v="2"/>
  </r>
  <r>
    <s v="TX501596"/>
    <x v="6"/>
    <x v="4"/>
    <n v="52.2"/>
    <x v="1280"/>
    <x v="59"/>
    <d v="2025-03-01T00:00:00"/>
    <x v="1"/>
    <x v="0"/>
    <x v="1"/>
    <x v="0"/>
    <x v="6"/>
    <x v="7"/>
    <x v="8"/>
    <x v="1"/>
  </r>
  <r>
    <s v="TX501597"/>
    <x v="1"/>
    <x v="1"/>
    <n v="68.2"/>
    <x v="517"/>
    <x v="59"/>
    <d v="2025-03-02T00:00:00"/>
    <x v="0"/>
    <x v="2"/>
    <x v="0"/>
    <x v="0"/>
    <x v="7"/>
    <x v="3"/>
    <x v="8"/>
    <x v="0"/>
  </r>
  <r>
    <s v="TX501598"/>
    <x v="0"/>
    <x v="2"/>
    <n v="34"/>
    <x v="1062"/>
    <x v="59"/>
    <d v="2025-03-05T00:00:00"/>
    <x v="2"/>
    <x v="0"/>
    <x v="0"/>
    <x v="0"/>
    <x v="8"/>
    <x v="5"/>
    <x v="8"/>
    <x v="2"/>
  </r>
  <r>
    <s v="TX501599"/>
    <x v="8"/>
    <x v="2"/>
    <n v="19.100000000000001"/>
    <x v="1281"/>
    <x v="59"/>
    <d v="2025-03-02T00:00:00"/>
    <x v="2"/>
    <x v="4"/>
    <x v="0"/>
    <x v="0"/>
    <x v="8"/>
    <x v="3"/>
    <x v="8"/>
    <x v="2"/>
  </r>
  <r>
    <s v="TX501600"/>
    <x v="5"/>
    <x v="8"/>
    <n v="34"/>
    <x v="1123"/>
    <x v="59"/>
    <d v="2025-03-09T00:00:00"/>
    <x v="2"/>
    <x v="4"/>
    <x v="0"/>
    <x v="0"/>
    <x v="8"/>
    <x v="9"/>
    <x v="8"/>
    <x v="2"/>
  </r>
  <r>
    <s v="TX501601"/>
    <x v="12"/>
    <x v="1"/>
    <n v="109.1"/>
    <x v="1282"/>
    <x v="59"/>
    <d v="2025-03-03T00:00:00"/>
    <x v="1"/>
    <x v="0"/>
    <x v="2"/>
    <x v="0"/>
    <x v="8"/>
    <x v="1"/>
    <x v="8"/>
    <x v="1"/>
  </r>
  <r>
    <s v="TX501602"/>
    <x v="18"/>
    <x v="1"/>
    <n v="64.8"/>
    <x v="632"/>
    <x v="59"/>
    <d v="2025-03-03T00:00:00"/>
    <x v="1"/>
    <x v="0"/>
    <x v="2"/>
    <x v="0"/>
    <x v="8"/>
    <x v="1"/>
    <x v="8"/>
    <x v="1"/>
  </r>
  <r>
    <s v="TX501603"/>
    <x v="10"/>
    <x v="1"/>
    <n v="21.1"/>
    <x v="1283"/>
    <x v="59"/>
    <d v="2025-03-01T00:00:00"/>
    <x v="2"/>
    <x v="1"/>
    <x v="0"/>
    <x v="0"/>
    <x v="11"/>
    <x v="7"/>
    <x v="8"/>
    <x v="2"/>
  </r>
  <r>
    <s v="TX501604"/>
    <x v="0"/>
    <x v="8"/>
    <n v="21.3"/>
    <x v="1284"/>
    <x v="59"/>
    <d v="2025-03-03T00:00:00"/>
    <x v="1"/>
    <x v="3"/>
    <x v="1"/>
    <x v="0"/>
    <x v="18"/>
    <x v="1"/>
    <x v="8"/>
    <x v="1"/>
  </r>
  <r>
    <s v="TX501605"/>
    <x v="9"/>
    <x v="2"/>
    <n v="24.3"/>
    <x v="1285"/>
    <x v="59"/>
    <d v="2025-03-02T00:00:00"/>
    <x v="1"/>
    <x v="1"/>
    <x v="0"/>
    <x v="0"/>
    <x v="19"/>
    <x v="3"/>
    <x v="8"/>
    <x v="1"/>
  </r>
  <r>
    <s v="TX501606"/>
    <x v="8"/>
    <x v="0"/>
    <n v="43.3"/>
    <x v="1286"/>
    <x v="59"/>
    <d v="2025-03-05T00:00:00"/>
    <x v="1"/>
    <x v="1"/>
    <x v="1"/>
    <x v="0"/>
    <x v="13"/>
    <x v="5"/>
    <x v="8"/>
    <x v="1"/>
  </r>
  <r>
    <s v="TX501607"/>
    <x v="9"/>
    <x v="2"/>
    <n v="41"/>
    <x v="1287"/>
    <x v="59"/>
    <d v="2025-03-02T00:00:00"/>
    <x v="2"/>
    <x v="3"/>
    <x v="4"/>
    <x v="0"/>
    <x v="21"/>
    <x v="3"/>
    <x v="8"/>
    <x v="2"/>
  </r>
  <r>
    <s v="TX501608"/>
    <x v="16"/>
    <x v="2"/>
    <n v="54.1"/>
    <x v="1288"/>
    <x v="59"/>
    <d v="2025-03-03T00:00:00"/>
    <x v="2"/>
    <x v="4"/>
    <x v="0"/>
    <x v="0"/>
    <x v="21"/>
    <x v="1"/>
    <x v="8"/>
    <x v="2"/>
  </r>
  <r>
    <s v="TX501609"/>
    <x v="11"/>
    <x v="1"/>
    <n v="39"/>
    <x v="292"/>
    <x v="59"/>
    <d v="2025-03-02T00:00:00"/>
    <x v="1"/>
    <x v="1"/>
    <x v="2"/>
    <x v="0"/>
    <x v="1"/>
    <x v="3"/>
    <x v="8"/>
    <x v="1"/>
  </r>
  <r>
    <s v="TX501610"/>
    <x v="8"/>
    <x v="1"/>
    <n v="40.299999999999997"/>
    <x v="7"/>
    <x v="59"/>
    <d v="2025-03-03T00:00:00"/>
    <x v="1"/>
    <x v="3"/>
    <x v="0"/>
    <x v="0"/>
    <x v="27"/>
    <x v="1"/>
    <x v="8"/>
    <x v="1"/>
  </r>
  <r>
    <s v="TX501611"/>
    <x v="8"/>
    <x v="2"/>
    <n v="24.1"/>
    <x v="1289"/>
    <x v="59"/>
    <d v="2025-03-02T00:00:00"/>
    <x v="1"/>
    <x v="0"/>
    <x v="2"/>
    <x v="0"/>
    <x v="34"/>
    <x v="3"/>
    <x v="8"/>
    <x v="1"/>
  </r>
  <r>
    <s v="TX501612"/>
    <x v="6"/>
    <x v="9"/>
    <n v="52.3"/>
    <x v="1290"/>
    <x v="59"/>
    <d v="2025-03-02T00:00:00"/>
    <x v="1"/>
    <x v="2"/>
    <x v="0"/>
    <x v="0"/>
    <x v="3"/>
    <x v="3"/>
    <x v="8"/>
    <x v="1"/>
  </r>
  <r>
    <s v="TX501613"/>
    <x v="12"/>
    <x v="12"/>
    <n v="68.8"/>
    <x v="1291"/>
    <x v="59"/>
    <d v="2025-03-05T00:00:00"/>
    <x v="2"/>
    <x v="4"/>
    <x v="2"/>
    <x v="0"/>
    <x v="3"/>
    <x v="5"/>
    <x v="8"/>
    <x v="2"/>
  </r>
  <r>
    <s v="TX501614"/>
    <x v="2"/>
    <x v="1"/>
    <n v="128.80000000000001"/>
    <x v="1292"/>
    <x v="60"/>
    <d v="2025-03-05T00:00:00"/>
    <x v="2"/>
    <x v="1"/>
    <x v="1"/>
    <x v="0"/>
    <x v="3"/>
    <x v="2"/>
    <x v="9"/>
    <x v="2"/>
  </r>
  <r>
    <s v="TX501615"/>
    <x v="15"/>
    <x v="9"/>
    <n v="48.2"/>
    <x v="1044"/>
    <x v="60"/>
    <d v="2025-03-04T00:00:00"/>
    <x v="2"/>
    <x v="3"/>
    <x v="0"/>
    <x v="0"/>
    <x v="3"/>
    <x v="1"/>
    <x v="9"/>
    <x v="2"/>
  </r>
  <r>
    <s v="TX501616"/>
    <x v="10"/>
    <x v="0"/>
    <n v="39.700000000000003"/>
    <x v="144"/>
    <x v="60"/>
    <d v="2025-03-04T00:00:00"/>
    <x v="2"/>
    <x v="0"/>
    <x v="1"/>
    <x v="0"/>
    <x v="3"/>
    <x v="1"/>
    <x v="9"/>
    <x v="2"/>
  </r>
  <r>
    <s v="TX501617"/>
    <x v="9"/>
    <x v="0"/>
    <n v="59.7"/>
    <x v="1201"/>
    <x v="60"/>
    <d v="2025-03-05T00:00:00"/>
    <x v="2"/>
    <x v="4"/>
    <x v="0"/>
    <x v="0"/>
    <x v="3"/>
    <x v="2"/>
    <x v="9"/>
    <x v="2"/>
  </r>
  <r>
    <s v="TX501618"/>
    <x v="6"/>
    <x v="0"/>
    <n v="48.3"/>
    <x v="1293"/>
    <x v="60"/>
    <d v="2025-03-16T00:00:00"/>
    <x v="3"/>
    <x v="0"/>
    <x v="2"/>
    <x v="0"/>
    <x v="3"/>
    <x v="12"/>
    <x v="9"/>
    <x v="3"/>
  </r>
  <r>
    <s v="TX501619"/>
    <x v="8"/>
    <x v="2"/>
    <n v="45.5"/>
    <x v="1294"/>
    <x v="60"/>
    <d v="2025-03-04T00:00:00"/>
    <x v="1"/>
    <x v="2"/>
    <x v="1"/>
    <x v="0"/>
    <x v="3"/>
    <x v="1"/>
    <x v="9"/>
    <x v="1"/>
  </r>
  <r>
    <s v="TX501620"/>
    <x v="9"/>
    <x v="6"/>
    <n v="51"/>
    <x v="1295"/>
    <x v="60"/>
    <d v="2025-03-02T00:00:00"/>
    <x v="2"/>
    <x v="2"/>
    <x v="0"/>
    <x v="0"/>
    <x v="3"/>
    <x v="7"/>
    <x v="9"/>
    <x v="2"/>
  </r>
  <r>
    <s v="TX501621"/>
    <x v="4"/>
    <x v="13"/>
    <n v="20.399999999999999"/>
    <x v="1296"/>
    <x v="60"/>
    <d v="2025-03-03T00:00:00"/>
    <x v="1"/>
    <x v="2"/>
    <x v="0"/>
    <x v="0"/>
    <x v="3"/>
    <x v="3"/>
    <x v="9"/>
    <x v="1"/>
  </r>
  <r>
    <s v="TX501622"/>
    <x v="10"/>
    <x v="1"/>
    <n v="30.4"/>
    <x v="1297"/>
    <x v="60"/>
    <d v="2025-03-04T00:00:00"/>
    <x v="1"/>
    <x v="2"/>
    <x v="0"/>
    <x v="0"/>
    <x v="3"/>
    <x v="1"/>
    <x v="9"/>
    <x v="1"/>
  </r>
  <r>
    <s v="TX501623"/>
    <x v="7"/>
    <x v="1"/>
    <n v="71.5"/>
    <x v="1298"/>
    <x v="60"/>
    <d v="2025-03-06T00:00:00"/>
    <x v="2"/>
    <x v="0"/>
    <x v="0"/>
    <x v="0"/>
    <x v="3"/>
    <x v="5"/>
    <x v="9"/>
    <x v="2"/>
  </r>
  <r>
    <s v="TX501624"/>
    <x v="8"/>
    <x v="13"/>
    <n v="18"/>
    <x v="807"/>
    <x v="60"/>
    <d v="2025-03-03T00:00:00"/>
    <x v="3"/>
    <x v="1"/>
    <x v="2"/>
    <x v="0"/>
    <x v="6"/>
    <x v="3"/>
    <x v="9"/>
    <x v="3"/>
  </r>
  <r>
    <s v="TX501625"/>
    <x v="15"/>
    <x v="5"/>
    <n v="45.6"/>
    <x v="1299"/>
    <x v="60"/>
    <d v="2025-03-03T00:00:00"/>
    <x v="3"/>
    <x v="1"/>
    <x v="1"/>
    <x v="0"/>
    <x v="7"/>
    <x v="3"/>
    <x v="9"/>
    <x v="3"/>
  </r>
  <r>
    <s v="TX501626"/>
    <x v="9"/>
    <x v="0"/>
    <n v="31.8"/>
    <x v="627"/>
    <x v="60"/>
    <d v="2025-03-06T00:00:00"/>
    <x v="2"/>
    <x v="0"/>
    <x v="2"/>
    <x v="0"/>
    <x v="7"/>
    <x v="5"/>
    <x v="9"/>
    <x v="2"/>
  </r>
  <r>
    <s v="TX501627"/>
    <x v="8"/>
    <x v="9"/>
    <n v="19.899999999999999"/>
    <x v="1300"/>
    <x v="60"/>
    <d v="2025-03-03T00:00:00"/>
    <x v="2"/>
    <x v="1"/>
    <x v="0"/>
    <x v="0"/>
    <x v="7"/>
    <x v="3"/>
    <x v="9"/>
    <x v="2"/>
  </r>
  <r>
    <s v="TX501628"/>
    <x v="12"/>
    <x v="11"/>
    <n v="52.1"/>
    <x v="1301"/>
    <x v="60"/>
    <d v="2025-03-04T00:00:00"/>
    <x v="1"/>
    <x v="0"/>
    <x v="0"/>
    <x v="0"/>
    <x v="8"/>
    <x v="1"/>
    <x v="9"/>
    <x v="1"/>
  </r>
  <r>
    <s v="TX501629"/>
    <x v="1"/>
    <x v="3"/>
    <n v="45.9"/>
    <x v="1198"/>
    <x v="60"/>
    <d v="2025-03-03T00:00:00"/>
    <x v="1"/>
    <x v="0"/>
    <x v="1"/>
    <x v="0"/>
    <x v="8"/>
    <x v="3"/>
    <x v="9"/>
    <x v="1"/>
  </r>
  <r>
    <s v="TX501630"/>
    <x v="1"/>
    <x v="7"/>
    <n v="115.9"/>
    <x v="1302"/>
    <x v="60"/>
    <d v="2025-03-05T00:00:00"/>
    <x v="2"/>
    <x v="1"/>
    <x v="0"/>
    <x v="0"/>
    <x v="8"/>
    <x v="2"/>
    <x v="9"/>
    <x v="2"/>
  </r>
  <r>
    <s v="TX501631"/>
    <x v="6"/>
    <x v="11"/>
    <n v="86"/>
    <x v="1303"/>
    <x v="60"/>
    <d v="2025-03-07T00:00:00"/>
    <x v="2"/>
    <x v="0"/>
    <x v="1"/>
    <x v="0"/>
    <x v="8"/>
    <x v="0"/>
    <x v="9"/>
    <x v="2"/>
  </r>
  <r>
    <s v="TX501632"/>
    <x v="7"/>
    <x v="3"/>
    <n v="73.599999999999994"/>
    <x v="1304"/>
    <x v="60"/>
    <d v="2025-03-04T00:00:00"/>
    <x v="2"/>
    <x v="0"/>
    <x v="0"/>
    <x v="0"/>
    <x v="17"/>
    <x v="1"/>
    <x v="9"/>
    <x v="2"/>
  </r>
  <r>
    <s v="TX501633"/>
    <x v="10"/>
    <x v="2"/>
    <n v="26.7"/>
    <x v="1133"/>
    <x v="60"/>
    <d v="2025-03-06T00:00:00"/>
    <x v="2"/>
    <x v="0"/>
    <x v="0"/>
    <x v="0"/>
    <x v="11"/>
    <x v="5"/>
    <x v="9"/>
    <x v="2"/>
  </r>
  <r>
    <s v="TX501634"/>
    <x v="8"/>
    <x v="3"/>
    <n v="46.6"/>
    <x v="1305"/>
    <x v="60"/>
    <d v="2025-03-04T00:00:00"/>
    <x v="0"/>
    <x v="3"/>
    <x v="0"/>
    <x v="0"/>
    <x v="11"/>
    <x v="1"/>
    <x v="9"/>
    <x v="0"/>
  </r>
  <r>
    <s v="TX501635"/>
    <x v="3"/>
    <x v="2"/>
    <n v="84.6"/>
    <x v="1306"/>
    <x v="60"/>
    <d v="2025-03-04T00:00:00"/>
    <x v="1"/>
    <x v="4"/>
    <x v="0"/>
    <x v="0"/>
    <x v="11"/>
    <x v="1"/>
    <x v="9"/>
    <x v="1"/>
  </r>
  <r>
    <s v="TX501636"/>
    <x v="7"/>
    <x v="21"/>
    <n v="41.5"/>
    <x v="1307"/>
    <x v="60"/>
    <d v="2025-03-16T00:00:00"/>
    <x v="1"/>
    <x v="1"/>
    <x v="0"/>
    <x v="0"/>
    <x v="53"/>
    <x v="12"/>
    <x v="9"/>
    <x v="1"/>
  </r>
  <r>
    <s v="TX501637"/>
    <x v="8"/>
    <x v="0"/>
    <n v="32.799999999999997"/>
    <x v="944"/>
    <x v="60"/>
    <d v="2025-03-05T00:00:00"/>
    <x v="1"/>
    <x v="0"/>
    <x v="2"/>
    <x v="0"/>
    <x v="30"/>
    <x v="2"/>
    <x v="9"/>
    <x v="1"/>
  </r>
  <r>
    <s v="TX501638"/>
    <x v="4"/>
    <x v="3"/>
    <n v="46.7"/>
    <x v="1308"/>
    <x v="60"/>
    <d v="2025-03-04T00:00:00"/>
    <x v="3"/>
    <x v="0"/>
    <x v="2"/>
    <x v="0"/>
    <x v="18"/>
    <x v="1"/>
    <x v="9"/>
    <x v="3"/>
  </r>
  <r>
    <s v="TX501639"/>
    <x v="15"/>
    <x v="3"/>
    <n v="21"/>
    <x v="926"/>
    <x v="60"/>
    <d v="2025-03-05T00:00:00"/>
    <x v="1"/>
    <x v="2"/>
    <x v="1"/>
    <x v="0"/>
    <x v="21"/>
    <x v="2"/>
    <x v="9"/>
    <x v="1"/>
  </r>
  <r>
    <s v="TX501640"/>
    <x v="5"/>
    <x v="3"/>
    <n v="29.4"/>
    <x v="43"/>
    <x v="60"/>
    <d v="2025-03-02T00:00:00"/>
    <x v="1"/>
    <x v="3"/>
    <x v="2"/>
    <x v="0"/>
    <x v="21"/>
    <x v="7"/>
    <x v="9"/>
    <x v="1"/>
  </r>
  <r>
    <s v="TX501641"/>
    <x v="15"/>
    <x v="1"/>
    <n v="32.299999999999997"/>
    <x v="1099"/>
    <x v="60"/>
    <d v="2025-03-03T00:00:00"/>
    <x v="1"/>
    <x v="0"/>
    <x v="2"/>
    <x v="0"/>
    <x v="21"/>
    <x v="3"/>
    <x v="9"/>
    <x v="1"/>
  </r>
  <r>
    <s v="TX501642"/>
    <x v="6"/>
    <x v="0"/>
    <n v="42.2"/>
    <x v="1283"/>
    <x v="61"/>
    <d v="2025-03-05T00:00:00"/>
    <x v="2"/>
    <x v="0"/>
    <x v="2"/>
    <x v="0"/>
    <x v="21"/>
    <x v="1"/>
    <x v="9"/>
    <x v="2"/>
  </r>
  <r>
    <s v="TX501643"/>
    <x v="6"/>
    <x v="0"/>
    <n v="53.7"/>
    <x v="1309"/>
    <x v="61"/>
    <d v="2025-03-05T00:00:00"/>
    <x v="1"/>
    <x v="1"/>
    <x v="1"/>
    <x v="0"/>
    <x v="1"/>
    <x v="1"/>
    <x v="9"/>
    <x v="1"/>
  </r>
  <r>
    <s v="TX501644"/>
    <x v="2"/>
    <x v="1"/>
    <n v="123.9"/>
    <x v="1310"/>
    <x v="61"/>
    <d v="2025-03-06T00:00:00"/>
    <x v="1"/>
    <x v="2"/>
    <x v="0"/>
    <x v="0"/>
    <x v="1"/>
    <x v="2"/>
    <x v="9"/>
    <x v="1"/>
  </r>
  <r>
    <s v="TX501645"/>
    <x v="4"/>
    <x v="2"/>
    <n v="35.9"/>
    <x v="1311"/>
    <x v="61"/>
    <d v="2025-03-05T00:00:00"/>
    <x v="1"/>
    <x v="2"/>
    <x v="0"/>
    <x v="0"/>
    <x v="22"/>
    <x v="1"/>
    <x v="9"/>
    <x v="1"/>
  </r>
  <r>
    <s v="TX501646"/>
    <x v="4"/>
    <x v="1"/>
    <n v="23.6"/>
    <x v="828"/>
    <x v="61"/>
    <d v="2025-03-06T00:00:00"/>
    <x v="1"/>
    <x v="0"/>
    <x v="2"/>
    <x v="0"/>
    <x v="3"/>
    <x v="2"/>
    <x v="9"/>
    <x v="1"/>
  </r>
  <r>
    <s v="TX501647"/>
    <x v="15"/>
    <x v="36"/>
    <n v="45.7"/>
    <x v="1312"/>
    <x v="61"/>
    <d v="2025-03-04T00:00:00"/>
    <x v="1"/>
    <x v="0"/>
    <x v="1"/>
    <x v="0"/>
    <x v="3"/>
    <x v="3"/>
    <x v="9"/>
    <x v="1"/>
  </r>
  <r>
    <s v="TX501648"/>
    <x v="6"/>
    <x v="5"/>
    <n v="118.3"/>
    <x v="1313"/>
    <x v="61"/>
    <d v="2025-03-05T00:00:00"/>
    <x v="1"/>
    <x v="4"/>
    <x v="2"/>
    <x v="0"/>
    <x v="3"/>
    <x v="1"/>
    <x v="9"/>
    <x v="1"/>
  </r>
  <r>
    <s v="TX501649"/>
    <x v="19"/>
    <x v="0"/>
    <n v="36"/>
    <x v="53"/>
    <x v="61"/>
    <d v="2025-03-04T00:00:00"/>
    <x v="2"/>
    <x v="0"/>
    <x v="1"/>
    <x v="0"/>
    <x v="3"/>
    <x v="3"/>
    <x v="9"/>
    <x v="2"/>
  </r>
  <r>
    <s v="TX501650"/>
    <x v="8"/>
    <x v="1"/>
    <n v="37.1"/>
    <x v="1314"/>
    <x v="61"/>
    <d v="2025-03-06T00:00:00"/>
    <x v="2"/>
    <x v="2"/>
    <x v="0"/>
    <x v="0"/>
    <x v="3"/>
    <x v="2"/>
    <x v="9"/>
    <x v="2"/>
  </r>
  <r>
    <s v="TX501651"/>
    <x v="18"/>
    <x v="2"/>
    <n v="45.1"/>
    <x v="246"/>
    <x v="61"/>
    <d v="2025-03-05T00:00:00"/>
    <x v="2"/>
    <x v="1"/>
    <x v="2"/>
    <x v="0"/>
    <x v="3"/>
    <x v="1"/>
    <x v="9"/>
    <x v="2"/>
  </r>
  <r>
    <s v="TX501652"/>
    <x v="5"/>
    <x v="27"/>
    <n v="37.9"/>
    <x v="1315"/>
    <x v="61"/>
    <d v="2025-03-04T00:00:00"/>
    <x v="2"/>
    <x v="3"/>
    <x v="2"/>
    <x v="0"/>
    <x v="3"/>
    <x v="3"/>
    <x v="9"/>
    <x v="2"/>
  </r>
  <r>
    <s v="TX501653"/>
    <x v="2"/>
    <x v="1"/>
    <n v="121.6"/>
    <x v="1316"/>
    <x v="61"/>
    <d v="2025-03-06T00:00:00"/>
    <x v="1"/>
    <x v="3"/>
    <x v="2"/>
    <x v="0"/>
    <x v="3"/>
    <x v="2"/>
    <x v="9"/>
    <x v="1"/>
  </r>
  <r>
    <s v="TX501654"/>
    <x v="5"/>
    <x v="3"/>
    <n v="38.200000000000003"/>
    <x v="1317"/>
    <x v="61"/>
    <d v="2025-03-06T00:00:00"/>
    <x v="2"/>
    <x v="0"/>
    <x v="0"/>
    <x v="0"/>
    <x v="3"/>
    <x v="2"/>
    <x v="9"/>
    <x v="2"/>
  </r>
  <r>
    <s v="TX501655"/>
    <x v="17"/>
    <x v="1"/>
    <n v="37.200000000000003"/>
    <x v="610"/>
    <x v="61"/>
    <d v="2025-03-06T00:00:00"/>
    <x v="1"/>
    <x v="4"/>
    <x v="0"/>
    <x v="0"/>
    <x v="3"/>
    <x v="2"/>
    <x v="9"/>
    <x v="1"/>
  </r>
  <r>
    <s v="TX501656"/>
    <x v="2"/>
    <x v="12"/>
    <n v="115.7"/>
    <x v="1318"/>
    <x v="61"/>
    <d v="2025-03-06T00:00:00"/>
    <x v="2"/>
    <x v="1"/>
    <x v="0"/>
    <x v="0"/>
    <x v="3"/>
    <x v="2"/>
    <x v="9"/>
    <x v="2"/>
  </r>
  <r>
    <s v="TX501657"/>
    <x v="2"/>
    <x v="13"/>
    <n v="99.4"/>
    <x v="1319"/>
    <x v="61"/>
    <d v="2025-03-06T00:00:00"/>
    <x v="1"/>
    <x v="0"/>
    <x v="2"/>
    <x v="0"/>
    <x v="3"/>
    <x v="2"/>
    <x v="9"/>
    <x v="1"/>
  </r>
  <r>
    <s v="TX501658"/>
    <x v="11"/>
    <x v="0"/>
    <n v="38.700000000000003"/>
    <x v="1320"/>
    <x v="61"/>
    <d v="2025-03-04T00:00:00"/>
    <x v="2"/>
    <x v="2"/>
    <x v="0"/>
    <x v="0"/>
    <x v="25"/>
    <x v="3"/>
    <x v="9"/>
    <x v="2"/>
  </r>
  <r>
    <s v="TX501659"/>
    <x v="4"/>
    <x v="1"/>
    <n v="35.5"/>
    <x v="1321"/>
    <x v="61"/>
    <d v="2025-03-06T00:00:00"/>
    <x v="1"/>
    <x v="0"/>
    <x v="2"/>
    <x v="0"/>
    <x v="25"/>
    <x v="2"/>
    <x v="9"/>
    <x v="1"/>
  </r>
  <r>
    <s v="TX501660"/>
    <x v="2"/>
    <x v="12"/>
    <n v="93.3"/>
    <x v="1322"/>
    <x v="61"/>
    <d v="2025-03-06T00:00:00"/>
    <x v="2"/>
    <x v="0"/>
    <x v="2"/>
    <x v="0"/>
    <x v="6"/>
    <x v="2"/>
    <x v="9"/>
    <x v="2"/>
  </r>
  <r>
    <s v="TX501661"/>
    <x v="16"/>
    <x v="0"/>
    <n v="31.4"/>
    <x v="1323"/>
    <x v="61"/>
    <d v="2025-03-08T00:00:00"/>
    <x v="2"/>
    <x v="2"/>
    <x v="2"/>
    <x v="0"/>
    <x v="6"/>
    <x v="0"/>
    <x v="9"/>
    <x v="2"/>
  </r>
  <r>
    <s v="TX501662"/>
    <x v="1"/>
    <x v="0"/>
    <n v="85.9"/>
    <x v="1324"/>
    <x v="61"/>
    <d v="2025-03-06T00:00:00"/>
    <x v="1"/>
    <x v="1"/>
    <x v="0"/>
    <x v="0"/>
    <x v="6"/>
    <x v="2"/>
    <x v="9"/>
    <x v="1"/>
  </r>
  <r>
    <s v="TX501663"/>
    <x v="6"/>
    <x v="8"/>
    <n v="41.7"/>
    <x v="335"/>
    <x v="61"/>
    <d v="2025-03-11T00:00:00"/>
    <x v="1"/>
    <x v="0"/>
    <x v="2"/>
    <x v="0"/>
    <x v="7"/>
    <x v="9"/>
    <x v="9"/>
    <x v="1"/>
  </r>
  <r>
    <s v="TX501664"/>
    <x v="8"/>
    <x v="12"/>
    <n v="31.5"/>
    <x v="624"/>
    <x v="61"/>
    <d v="2025-03-04T00:00:00"/>
    <x v="2"/>
    <x v="0"/>
    <x v="0"/>
    <x v="0"/>
    <x v="7"/>
    <x v="3"/>
    <x v="9"/>
    <x v="2"/>
  </r>
  <r>
    <s v="TX501665"/>
    <x v="8"/>
    <x v="1"/>
    <n v="36.299999999999997"/>
    <x v="1325"/>
    <x v="61"/>
    <d v="2025-03-04T00:00:00"/>
    <x v="2"/>
    <x v="0"/>
    <x v="4"/>
    <x v="0"/>
    <x v="8"/>
    <x v="3"/>
    <x v="9"/>
    <x v="2"/>
  </r>
  <r>
    <s v="TX501666"/>
    <x v="8"/>
    <x v="2"/>
    <n v="33.4"/>
    <x v="1326"/>
    <x v="61"/>
    <d v="2025-03-04T00:00:00"/>
    <x v="2"/>
    <x v="3"/>
    <x v="0"/>
    <x v="0"/>
    <x v="17"/>
    <x v="3"/>
    <x v="9"/>
    <x v="2"/>
  </r>
  <r>
    <s v="TX501667"/>
    <x v="2"/>
    <x v="2"/>
    <n v="65.2"/>
    <x v="1327"/>
    <x v="61"/>
    <d v="2025-03-04T00:00:00"/>
    <x v="2"/>
    <x v="2"/>
    <x v="2"/>
    <x v="0"/>
    <x v="26"/>
    <x v="3"/>
    <x v="9"/>
    <x v="2"/>
  </r>
  <r>
    <s v="TX501668"/>
    <x v="8"/>
    <x v="11"/>
    <n v="65.5"/>
    <x v="1328"/>
    <x v="61"/>
    <d v="2025-03-06T00:00:00"/>
    <x v="2"/>
    <x v="0"/>
    <x v="2"/>
    <x v="0"/>
    <x v="9"/>
    <x v="2"/>
    <x v="9"/>
    <x v="2"/>
  </r>
  <r>
    <s v="TX501669"/>
    <x v="6"/>
    <x v="2"/>
    <n v="52.8"/>
    <x v="1329"/>
    <x v="61"/>
    <d v="2025-03-06T00:00:00"/>
    <x v="1"/>
    <x v="2"/>
    <x v="0"/>
    <x v="0"/>
    <x v="9"/>
    <x v="2"/>
    <x v="9"/>
    <x v="1"/>
  </r>
  <r>
    <s v="TX501670"/>
    <x v="9"/>
    <x v="9"/>
    <n v="24"/>
    <x v="160"/>
    <x v="61"/>
    <d v="2025-03-07T00:00:00"/>
    <x v="1"/>
    <x v="0"/>
    <x v="1"/>
    <x v="0"/>
    <x v="11"/>
    <x v="5"/>
    <x v="9"/>
    <x v="1"/>
  </r>
  <r>
    <s v="TX501671"/>
    <x v="3"/>
    <x v="2"/>
    <n v="51.2"/>
    <x v="1330"/>
    <x v="61"/>
    <d v="2025-03-04T00:00:00"/>
    <x v="2"/>
    <x v="0"/>
    <x v="0"/>
    <x v="0"/>
    <x v="32"/>
    <x v="3"/>
    <x v="9"/>
    <x v="2"/>
  </r>
  <r>
    <s v="TX501672"/>
    <x v="5"/>
    <x v="2"/>
    <n v="28.3"/>
    <x v="1331"/>
    <x v="61"/>
    <d v="2025-03-05T00:00:00"/>
    <x v="1"/>
    <x v="4"/>
    <x v="0"/>
    <x v="0"/>
    <x v="19"/>
    <x v="1"/>
    <x v="9"/>
    <x v="1"/>
  </r>
  <r>
    <s v="TX501673"/>
    <x v="6"/>
    <x v="2"/>
    <n v="42.3"/>
    <x v="1332"/>
    <x v="61"/>
    <d v="2025-03-03T00:00:00"/>
    <x v="2"/>
    <x v="2"/>
    <x v="1"/>
    <x v="0"/>
    <x v="19"/>
    <x v="7"/>
    <x v="9"/>
    <x v="2"/>
  </r>
  <r>
    <s v="TX501674"/>
    <x v="2"/>
    <x v="8"/>
    <n v="163.30000000000001"/>
    <x v="1333"/>
    <x v="62"/>
    <d v="2025-03-05T00:00:00"/>
    <x v="2"/>
    <x v="1"/>
    <x v="0"/>
    <x v="0"/>
    <x v="13"/>
    <x v="3"/>
    <x v="9"/>
    <x v="2"/>
  </r>
  <r>
    <s v="TX501675"/>
    <x v="6"/>
    <x v="3"/>
    <n v="47.3"/>
    <x v="1334"/>
    <x v="62"/>
    <d v="2025-03-07T00:00:00"/>
    <x v="2"/>
    <x v="4"/>
    <x v="1"/>
    <x v="0"/>
    <x v="21"/>
    <x v="2"/>
    <x v="9"/>
    <x v="2"/>
  </r>
  <r>
    <s v="TX501676"/>
    <x v="8"/>
    <x v="27"/>
    <n v="27.3"/>
    <x v="1335"/>
    <x v="62"/>
    <d v="2025-03-05T00:00:00"/>
    <x v="2"/>
    <x v="2"/>
    <x v="0"/>
    <x v="0"/>
    <x v="21"/>
    <x v="3"/>
    <x v="9"/>
    <x v="2"/>
  </r>
  <r>
    <s v="TX501677"/>
    <x v="10"/>
    <x v="13"/>
    <n v="34.9"/>
    <x v="1336"/>
    <x v="62"/>
    <d v="2025-03-15T00:00:00"/>
    <x v="2"/>
    <x v="0"/>
    <x v="0"/>
    <x v="0"/>
    <x v="21"/>
    <x v="11"/>
    <x v="9"/>
    <x v="2"/>
  </r>
  <r>
    <s v="TX501678"/>
    <x v="6"/>
    <x v="1"/>
    <n v="53.9"/>
    <x v="215"/>
    <x v="62"/>
    <d v="2025-03-07T00:00:00"/>
    <x v="3"/>
    <x v="0"/>
    <x v="4"/>
    <x v="0"/>
    <x v="1"/>
    <x v="2"/>
    <x v="9"/>
    <x v="3"/>
  </r>
  <r>
    <s v="TX501679"/>
    <x v="2"/>
    <x v="1"/>
    <n v="87.2"/>
    <x v="1337"/>
    <x v="62"/>
    <d v="2025-03-05T00:00:00"/>
    <x v="2"/>
    <x v="0"/>
    <x v="1"/>
    <x v="0"/>
    <x v="1"/>
    <x v="3"/>
    <x v="9"/>
    <x v="2"/>
  </r>
  <r>
    <s v="TX501680"/>
    <x v="15"/>
    <x v="0"/>
    <n v="58.8"/>
    <x v="572"/>
    <x v="62"/>
    <d v="2025-03-06T00:00:00"/>
    <x v="2"/>
    <x v="2"/>
    <x v="0"/>
    <x v="0"/>
    <x v="44"/>
    <x v="1"/>
    <x v="9"/>
    <x v="2"/>
  </r>
  <r>
    <s v="TX501681"/>
    <x v="2"/>
    <x v="3"/>
    <n v="125.5"/>
    <x v="1338"/>
    <x v="62"/>
    <d v="2025-03-05T00:00:00"/>
    <x v="1"/>
    <x v="2"/>
    <x v="4"/>
    <x v="0"/>
    <x v="22"/>
    <x v="3"/>
    <x v="9"/>
    <x v="1"/>
  </r>
  <r>
    <s v="TX501682"/>
    <x v="1"/>
    <x v="12"/>
    <n v="124.6"/>
    <x v="1339"/>
    <x v="62"/>
    <d v="2025-03-06T00:00:00"/>
    <x v="2"/>
    <x v="0"/>
    <x v="1"/>
    <x v="0"/>
    <x v="22"/>
    <x v="1"/>
    <x v="9"/>
    <x v="2"/>
  </r>
  <r>
    <s v="TX501683"/>
    <x v="1"/>
    <x v="3"/>
    <n v="39.9"/>
    <x v="1340"/>
    <x v="62"/>
    <d v="2025-03-05T00:00:00"/>
    <x v="1"/>
    <x v="2"/>
    <x v="1"/>
    <x v="0"/>
    <x v="3"/>
    <x v="3"/>
    <x v="9"/>
    <x v="1"/>
  </r>
  <r>
    <s v="TX501684"/>
    <x v="6"/>
    <x v="0"/>
    <n v="94.6"/>
    <x v="422"/>
    <x v="62"/>
    <d v="2025-03-18T00:00:00"/>
    <x v="2"/>
    <x v="0"/>
    <x v="1"/>
    <x v="0"/>
    <x v="3"/>
    <x v="12"/>
    <x v="9"/>
    <x v="2"/>
  </r>
  <r>
    <s v="TX501685"/>
    <x v="2"/>
    <x v="1"/>
    <n v="149.6"/>
    <x v="1341"/>
    <x v="62"/>
    <d v="2025-03-05T00:00:00"/>
    <x v="2"/>
    <x v="0"/>
    <x v="0"/>
    <x v="0"/>
    <x v="3"/>
    <x v="3"/>
    <x v="9"/>
    <x v="2"/>
  </r>
  <r>
    <s v="TX501686"/>
    <x v="8"/>
    <x v="0"/>
    <n v="52.2"/>
    <x v="1342"/>
    <x v="62"/>
    <d v="2025-03-05T00:00:00"/>
    <x v="0"/>
    <x v="1"/>
    <x v="0"/>
    <x v="0"/>
    <x v="3"/>
    <x v="3"/>
    <x v="9"/>
    <x v="0"/>
  </r>
  <r>
    <s v="TX501687"/>
    <x v="6"/>
    <x v="1"/>
    <n v="96.5"/>
    <x v="1343"/>
    <x v="62"/>
    <d v="2025-03-05T00:00:00"/>
    <x v="2"/>
    <x v="1"/>
    <x v="1"/>
    <x v="0"/>
    <x v="3"/>
    <x v="3"/>
    <x v="9"/>
    <x v="2"/>
  </r>
  <r>
    <s v="TX501688"/>
    <x v="8"/>
    <x v="1"/>
    <n v="79.8"/>
    <x v="1344"/>
    <x v="62"/>
    <d v="2025-03-06T00:00:00"/>
    <x v="2"/>
    <x v="0"/>
    <x v="1"/>
    <x v="0"/>
    <x v="3"/>
    <x v="1"/>
    <x v="9"/>
    <x v="2"/>
  </r>
  <r>
    <s v="TX501689"/>
    <x v="8"/>
    <x v="2"/>
    <n v="35.6"/>
    <x v="694"/>
    <x v="62"/>
    <d v="2025-03-05T00:00:00"/>
    <x v="2"/>
    <x v="2"/>
    <x v="0"/>
    <x v="0"/>
    <x v="3"/>
    <x v="3"/>
    <x v="9"/>
    <x v="2"/>
  </r>
  <r>
    <s v="TX501690"/>
    <x v="16"/>
    <x v="0"/>
    <n v="50.2"/>
    <x v="486"/>
    <x v="62"/>
    <d v="2025-03-05T00:00:00"/>
    <x v="2"/>
    <x v="1"/>
    <x v="2"/>
    <x v="0"/>
    <x v="3"/>
    <x v="3"/>
    <x v="9"/>
    <x v="2"/>
  </r>
  <r>
    <s v="TX501691"/>
    <x v="1"/>
    <x v="2"/>
    <n v="55.3"/>
    <x v="1345"/>
    <x v="62"/>
    <d v="2025-03-07T00:00:00"/>
    <x v="2"/>
    <x v="0"/>
    <x v="4"/>
    <x v="0"/>
    <x v="40"/>
    <x v="2"/>
    <x v="9"/>
    <x v="2"/>
  </r>
  <r>
    <s v="TX501692"/>
    <x v="6"/>
    <x v="3"/>
    <n v="104.5"/>
    <x v="1346"/>
    <x v="62"/>
    <d v="2025-03-08T00:00:00"/>
    <x v="2"/>
    <x v="1"/>
    <x v="0"/>
    <x v="0"/>
    <x v="7"/>
    <x v="5"/>
    <x v="9"/>
    <x v="2"/>
  </r>
  <r>
    <s v="TX501693"/>
    <x v="6"/>
    <x v="12"/>
    <n v="66.5"/>
    <x v="751"/>
    <x v="62"/>
    <d v="2025-03-06T00:00:00"/>
    <x v="1"/>
    <x v="1"/>
    <x v="0"/>
    <x v="0"/>
    <x v="7"/>
    <x v="1"/>
    <x v="9"/>
    <x v="1"/>
  </r>
  <r>
    <s v="TX501694"/>
    <x v="10"/>
    <x v="8"/>
    <n v="38.299999999999997"/>
    <x v="1347"/>
    <x v="62"/>
    <d v="2025-03-05T00:00:00"/>
    <x v="2"/>
    <x v="0"/>
    <x v="0"/>
    <x v="0"/>
    <x v="7"/>
    <x v="3"/>
    <x v="9"/>
    <x v="2"/>
  </r>
  <r>
    <s v="TX501695"/>
    <x v="6"/>
    <x v="2"/>
    <n v="63.8"/>
    <x v="1348"/>
    <x v="62"/>
    <d v="2025-03-07T00:00:00"/>
    <x v="2"/>
    <x v="1"/>
    <x v="0"/>
    <x v="0"/>
    <x v="8"/>
    <x v="2"/>
    <x v="9"/>
    <x v="2"/>
  </r>
  <r>
    <s v="TX501696"/>
    <x v="15"/>
    <x v="0"/>
    <n v="21.4"/>
    <x v="1349"/>
    <x v="62"/>
    <d v="2025-03-04T00:00:00"/>
    <x v="1"/>
    <x v="4"/>
    <x v="0"/>
    <x v="0"/>
    <x v="8"/>
    <x v="7"/>
    <x v="9"/>
    <x v="1"/>
  </r>
  <r>
    <s v="TX501697"/>
    <x v="8"/>
    <x v="12"/>
    <n v="44.1"/>
    <x v="1350"/>
    <x v="62"/>
    <d v="2025-03-06T00:00:00"/>
    <x v="2"/>
    <x v="2"/>
    <x v="0"/>
    <x v="0"/>
    <x v="8"/>
    <x v="1"/>
    <x v="9"/>
    <x v="2"/>
  </r>
  <r>
    <s v="TX501698"/>
    <x v="5"/>
    <x v="8"/>
    <n v="57.6"/>
    <x v="1351"/>
    <x v="62"/>
    <d v="2025-03-06T00:00:00"/>
    <x v="1"/>
    <x v="1"/>
    <x v="2"/>
    <x v="0"/>
    <x v="8"/>
    <x v="1"/>
    <x v="9"/>
    <x v="1"/>
  </r>
  <r>
    <s v="TX501699"/>
    <x v="9"/>
    <x v="1"/>
    <n v="20.3"/>
    <x v="1352"/>
    <x v="62"/>
    <d v="2025-03-10T00:00:00"/>
    <x v="2"/>
    <x v="3"/>
    <x v="0"/>
    <x v="0"/>
    <x v="8"/>
    <x v="4"/>
    <x v="9"/>
    <x v="2"/>
  </r>
  <r>
    <s v="TX501700"/>
    <x v="8"/>
    <x v="0"/>
    <n v="22.9"/>
    <x v="1246"/>
    <x v="62"/>
    <d v="2025-03-06T00:00:00"/>
    <x v="2"/>
    <x v="2"/>
    <x v="2"/>
    <x v="0"/>
    <x v="8"/>
    <x v="1"/>
    <x v="9"/>
    <x v="2"/>
  </r>
  <r>
    <s v="TX501701"/>
    <x v="6"/>
    <x v="12"/>
    <n v="105.9"/>
    <x v="1353"/>
    <x v="62"/>
    <d v="2025-03-05T00:00:00"/>
    <x v="2"/>
    <x v="1"/>
    <x v="2"/>
    <x v="0"/>
    <x v="17"/>
    <x v="3"/>
    <x v="9"/>
    <x v="2"/>
  </r>
  <r>
    <s v="TX501702"/>
    <x v="1"/>
    <x v="11"/>
    <n v="37.4"/>
    <x v="1354"/>
    <x v="62"/>
    <d v="2025-03-08T00:00:00"/>
    <x v="1"/>
    <x v="1"/>
    <x v="0"/>
    <x v="0"/>
    <x v="11"/>
    <x v="5"/>
    <x v="9"/>
    <x v="1"/>
  </r>
  <r>
    <s v="TX501703"/>
    <x v="18"/>
    <x v="1"/>
    <n v="79"/>
    <x v="1355"/>
    <x v="62"/>
    <d v="2025-03-05T00:00:00"/>
    <x v="1"/>
    <x v="2"/>
    <x v="0"/>
    <x v="0"/>
    <x v="28"/>
    <x v="3"/>
    <x v="9"/>
    <x v="1"/>
  </r>
  <r>
    <s v="TX501704"/>
    <x v="0"/>
    <x v="2"/>
    <n v="19.3"/>
    <x v="1356"/>
    <x v="62"/>
    <d v="2025-03-05T00:00:00"/>
    <x v="2"/>
    <x v="4"/>
    <x v="0"/>
    <x v="0"/>
    <x v="21"/>
    <x v="3"/>
    <x v="9"/>
    <x v="2"/>
  </r>
  <r>
    <s v="TX501705"/>
    <x v="0"/>
    <x v="0"/>
    <n v="24"/>
    <x v="835"/>
    <x v="62"/>
    <d v="2025-03-05T00:00:00"/>
    <x v="2"/>
    <x v="1"/>
    <x v="0"/>
    <x v="0"/>
    <x v="1"/>
    <x v="3"/>
    <x v="9"/>
    <x v="2"/>
  </r>
  <r>
    <s v="TX501706"/>
    <x v="6"/>
    <x v="9"/>
    <n v="71.3"/>
    <x v="1357"/>
    <x v="62"/>
    <d v="2025-03-07T00:00:00"/>
    <x v="2"/>
    <x v="2"/>
    <x v="0"/>
    <x v="0"/>
    <x v="2"/>
    <x v="2"/>
    <x v="9"/>
    <x v="2"/>
  </r>
  <r>
    <s v="TX501707"/>
    <x v="5"/>
    <x v="1"/>
    <n v="166.2"/>
    <x v="1358"/>
    <x v="62"/>
    <d v="2025-03-05T00:00:00"/>
    <x v="1"/>
    <x v="0"/>
    <x v="2"/>
    <x v="0"/>
    <x v="50"/>
    <x v="3"/>
    <x v="9"/>
    <x v="1"/>
  </r>
  <r>
    <s v="TX501708"/>
    <x v="6"/>
    <x v="0"/>
    <n v="81"/>
    <x v="969"/>
    <x v="62"/>
    <d v="2025-03-05T00:00:00"/>
    <x v="2"/>
    <x v="2"/>
    <x v="1"/>
    <x v="0"/>
    <x v="3"/>
    <x v="3"/>
    <x v="9"/>
    <x v="2"/>
  </r>
  <r>
    <s v="TX501709"/>
    <x v="10"/>
    <x v="13"/>
    <n v="38.5"/>
    <x v="1359"/>
    <x v="62"/>
    <d v="2025-03-08T00:00:00"/>
    <x v="2"/>
    <x v="0"/>
    <x v="0"/>
    <x v="0"/>
    <x v="3"/>
    <x v="5"/>
    <x v="9"/>
    <x v="2"/>
  </r>
  <r>
    <s v="TX501710"/>
    <x v="6"/>
    <x v="0"/>
    <n v="86.1"/>
    <x v="1360"/>
    <x v="62"/>
    <d v="2025-03-06T00:00:00"/>
    <x v="2"/>
    <x v="3"/>
    <x v="0"/>
    <x v="0"/>
    <x v="3"/>
    <x v="1"/>
    <x v="9"/>
    <x v="2"/>
  </r>
  <r>
    <s v="TX501711"/>
    <x v="2"/>
    <x v="9"/>
    <n v="51"/>
    <x v="951"/>
    <x v="62"/>
    <d v="2025-03-05T00:00:00"/>
    <x v="1"/>
    <x v="0"/>
    <x v="1"/>
    <x v="0"/>
    <x v="3"/>
    <x v="3"/>
    <x v="9"/>
    <x v="1"/>
  </r>
  <r>
    <s v="TX501712"/>
    <x v="3"/>
    <x v="9"/>
    <n v="115.4"/>
    <x v="1361"/>
    <x v="62"/>
    <d v="2025-03-05T00:00:00"/>
    <x v="1"/>
    <x v="0"/>
    <x v="0"/>
    <x v="0"/>
    <x v="3"/>
    <x v="3"/>
    <x v="9"/>
    <x v="1"/>
  </r>
  <r>
    <s v="TX501713"/>
    <x v="6"/>
    <x v="12"/>
    <n v="176.5"/>
    <x v="1362"/>
    <x v="62"/>
    <d v="2025-03-05T00:00:00"/>
    <x v="2"/>
    <x v="2"/>
    <x v="2"/>
    <x v="0"/>
    <x v="3"/>
    <x v="3"/>
    <x v="9"/>
    <x v="2"/>
  </r>
  <r>
    <s v="TX501714"/>
    <x v="7"/>
    <x v="2"/>
    <n v="48.9"/>
    <x v="1363"/>
    <x v="62"/>
    <d v="2025-03-05T00:00:00"/>
    <x v="1"/>
    <x v="4"/>
    <x v="0"/>
    <x v="0"/>
    <x v="3"/>
    <x v="3"/>
    <x v="9"/>
    <x v="1"/>
  </r>
  <r>
    <s v="TX501715"/>
    <x v="8"/>
    <x v="2"/>
    <n v="18.100000000000001"/>
    <x v="1364"/>
    <x v="62"/>
    <d v="2025-03-11T00:00:00"/>
    <x v="2"/>
    <x v="1"/>
    <x v="2"/>
    <x v="0"/>
    <x v="29"/>
    <x v="6"/>
    <x v="9"/>
    <x v="2"/>
  </r>
  <r>
    <s v="TX501716"/>
    <x v="2"/>
    <x v="1"/>
    <n v="118.5"/>
    <x v="1365"/>
    <x v="62"/>
    <d v="2025-03-07T00:00:00"/>
    <x v="1"/>
    <x v="1"/>
    <x v="2"/>
    <x v="0"/>
    <x v="16"/>
    <x v="2"/>
    <x v="9"/>
    <x v="1"/>
  </r>
  <r>
    <s v="TX501717"/>
    <x v="15"/>
    <x v="3"/>
    <n v="59.1"/>
    <x v="1366"/>
    <x v="62"/>
    <d v="2025-03-05T00:00:00"/>
    <x v="2"/>
    <x v="3"/>
    <x v="0"/>
    <x v="0"/>
    <x v="25"/>
    <x v="3"/>
    <x v="9"/>
    <x v="2"/>
  </r>
  <r>
    <s v="TX501718"/>
    <x v="4"/>
    <x v="0"/>
    <n v="21.2"/>
    <x v="333"/>
    <x v="62"/>
    <d v="2025-03-05T00:00:00"/>
    <x v="2"/>
    <x v="0"/>
    <x v="1"/>
    <x v="0"/>
    <x v="6"/>
    <x v="3"/>
    <x v="9"/>
    <x v="2"/>
  </r>
  <r>
    <s v="TX501719"/>
    <x v="6"/>
    <x v="1"/>
    <n v="68.8"/>
    <x v="1367"/>
    <x v="62"/>
    <d v="2025-03-09T00:00:00"/>
    <x v="2"/>
    <x v="3"/>
    <x v="2"/>
    <x v="0"/>
    <x v="6"/>
    <x v="0"/>
    <x v="9"/>
    <x v="2"/>
  </r>
  <r>
    <s v="TX501720"/>
    <x v="6"/>
    <x v="1"/>
    <n v="65.400000000000006"/>
    <x v="1272"/>
    <x v="62"/>
    <d v="2025-03-08T00:00:00"/>
    <x v="2"/>
    <x v="0"/>
    <x v="0"/>
    <x v="0"/>
    <x v="6"/>
    <x v="5"/>
    <x v="9"/>
    <x v="2"/>
  </r>
  <r>
    <s v="TX501721"/>
    <x v="12"/>
    <x v="9"/>
    <n v="66.3"/>
    <x v="1278"/>
    <x v="63"/>
    <d v="2025-03-08T00:00:00"/>
    <x v="2"/>
    <x v="4"/>
    <x v="0"/>
    <x v="0"/>
    <x v="6"/>
    <x v="2"/>
    <x v="9"/>
    <x v="2"/>
  </r>
  <r>
    <s v="TX501722"/>
    <x v="6"/>
    <x v="2"/>
    <n v="97.5"/>
    <x v="1368"/>
    <x v="63"/>
    <d v="2025-03-05T00:00:00"/>
    <x v="1"/>
    <x v="3"/>
    <x v="0"/>
    <x v="0"/>
    <x v="8"/>
    <x v="7"/>
    <x v="9"/>
    <x v="1"/>
  </r>
  <r>
    <s v="TX501723"/>
    <x v="1"/>
    <x v="1"/>
    <n v="44"/>
    <x v="1155"/>
    <x v="63"/>
    <d v="2025-03-08T00:00:00"/>
    <x v="2"/>
    <x v="1"/>
    <x v="2"/>
    <x v="0"/>
    <x v="8"/>
    <x v="2"/>
    <x v="9"/>
    <x v="2"/>
  </r>
  <r>
    <s v="TX501724"/>
    <x v="0"/>
    <x v="0"/>
    <n v="21.9"/>
    <x v="731"/>
    <x v="63"/>
    <d v="2025-03-06T00:00:00"/>
    <x v="1"/>
    <x v="0"/>
    <x v="0"/>
    <x v="0"/>
    <x v="8"/>
    <x v="3"/>
    <x v="9"/>
    <x v="1"/>
  </r>
  <r>
    <s v="TX501725"/>
    <x v="4"/>
    <x v="3"/>
    <n v="21.5"/>
    <x v="379"/>
    <x v="63"/>
    <d v="2025-03-07T00:00:00"/>
    <x v="2"/>
    <x v="1"/>
    <x v="2"/>
    <x v="0"/>
    <x v="9"/>
    <x v="1"/>
    <x v="9"/>
    <x v="2"/>
  </r>
  <r>
    <s v="TX501726"/>
    <x v="12"/>
    <x v="13"/>
    <n v="133"/>
    <x v="1369"/>
    <x v="63"/>
    <d v="2025-03-06T00:00:00"/>
    <x v="3"/>
    <x v="0"/>
    <x v="2"/>
    <x v="0"/>
    <x v="10"/>
    <x v="3"/>
    <x v="9"/>
    <x v="3"/>
  </r>
  <r>
    <s v="TX501727"/>
    <x v="8"/>
    <x v="1"/>
    <n v="47.7"/>
    <x v="233"/>
    <x v="63"/>
    <d v="2025-03-09T00:00:00"/>
    <x v="1"/>
    <x v="0"/>
    <x v="2"/>
    <x v="0"/>
    <x v="10"/>
    <x v="5"/>
    <x v="9"/>
    <x v="1"/>
  </r>
  <r>
    <s v="TX501728"/>
    <x v="16"/>
    <x v="2"/>
    <n v="58.1"/>
    <x v="889"/>
    <x v="63"/>
    <d v="2025-03-06T00:00:00"/>
    <x v="2"/>
    <x v="0"/>
    <x v="0"/>
    <x v="0"/>
    <x v="11"/>
    <x v="3"/>
    <x v="9"/>
    <x v="2"/>
  </r>
  <r>
    <s v="TX501729"/>
    <x v="12"/>
    <x v="12"/>
    <n v="66.599999999999994"/>
    <x v="1370"/>
    <x v="63"/>
    <d v="2025-03-06T00:00:00"/>
    <x v="0"/>
    <x v="0"/>
    <x v="0"/>
    <x v="0"/>
    <x v="11"/>
    <x v="3"/>
    <x v="9"/>
    <x v="0"/>
  </r>
  <r>
    <s v="TX501730"/>
    <x v="9"/>
    <x v="0"/>
    <n v="24.1"/>
    <x v="1057"/>
    <x v="63"/>
    <d v="2025-03-08T00:00:00"/>
    <x v="1"/>
    <x v="2"/>
    <x v="1"/>
    <x v="0"/>
    <x v="19"/>
    <x v="2"/>
    <x v="9"/>
    <x v="1"/>
  </r>
  <r>
    <s v="TX501731"/>
    <x v="10"/>
    <x v="9"/>
    <n v="51.5"/>
    <x v="1371"/>
    <x v="63"/>
    <d v="2025-03-10T00:00:00"/>
    <x v="2"/>
    <x v="0"/>
    <x v="0"/>
    <x v="0"/>
    <x v="13"/>
    <x v="0"/>
    <x v="9"/>
    <x v="2"/>
  </r>
  <r>
    <s v="TX501732"/>
    <x v="0"/>
    <x v="5"/>
    <n v="25.8"/>
    <x v="674"/>
    <x v="63"/>
    <d v="2025-03-09T00:00:00"/>
    <x v="2"/>
    <x v="3"/>
    <x v="4"/>
    <x v="0"/>
    <x v="21"/>
    <x v="5"/>
    <x v="9"/>
    <x v="2"/>
  </r>
  <r>
    <s v="TX501733"/>
    <x v="9"/>
    <x v="12"/>
    <n v="47.7"/>
    <x v="1372"/>
    <x v="63"/>
    <d v="2025-03-05T00:00:00"/>
    <x v="2"/>
    <x v="0"/>
    <x v="1"/>
    <x v="0"/>
    <x v="21"/>
    <x v="7"/>
    <x v="9"/>
    <x v="2"/>
  </r>
  <r>
    <s v="TX501734"/>
    <x v="7"/>
    <x v="9"/>
    <n v="73.599999999999994"/>
    <x v="1373"/>
    <x v="63"/>
    <d v="2025-03-09T00:00:00"/>
    <x v="1"/>
    <x v="1"/>
    <x v="0"/>
    <x v="0"/>
    <x v="21"/>
    <x v="5"/>
    <x v="9"/>
    <x v="1"/>
  </r>
  <r>
    <s v="TX501735"/>
    <x v="5"/>
    <x v="3"/>
    <n v="91.2"/>
    <x v="1374"/>
    <x v="63"/>
    <d v="2025-03-06T00:00:00"/>
    <x v="1"/>
    <x v="1"/>
    <x v="2"/>
    <x v="0"/>
    <x v="21"/>
    <x v="3"/>
    <x v="9"/>
    <x v="1"/>
  </r>
  <r>
    <s v="TX501736"/>
    <x v="1"/>
    <x v="8"/>
    <n v="36.200000000000003"/>
    <x v="1375"/>
    <x v="63"/>
    <d v="2025-03-05T00:00:00"/>
    <x v="1"/>
    <x v="2"/>
    <x v="2"/>
    <x v="0"/>
    <x v="1"/>
    <x v="7"/>
    <x v="9"/>
    <x v="1"/>
  </r>
  <r>
    <s v="TX501737"/>
    <x v="9"/>
    <x v="8"/>
    <n v="98"/>
    <x v="1376"/>
    <x v="63"/>
    <d v="2025-03-09T00:00:00"/>
    <x v="2"/>
    <x v="2"/>
    <x v="0"/>
    <x v="0"/>
    <x v="2"/>
    <x v="5"/>
    <x v="9"/>
    <x v="2"/>
  </r>
  <r>
    <s v="TX501738"/>
    <x v="1"/>
    <x v="8"/>
    <n v="43.6"/>
    <x v="1377"/>
    <x v="63"/>
    <d v="2025-03-06T00:00:00"/>
    <x v="2"/>
    <x v="2"/>
    <x v="0"/>
    <x v="0"/>
    <x v="22"/>
    <x v="3"/>
    <x v="9"/>
    <x v="2"/>
  </r>
  <r>
    <s v="TX501739"/>
    <x v="8"/>
    <x v="7"/>
    <n v="37.799999999999997"/>
    <x v="1378"/>
    <x v="63"/>
    <d v="2025-03-05T00:00:00"/>
    <x v="3"/>
    <x v="0"/>
    <x v="0"/>
    <x v="0"/>
    <x v="50"/>
    <x v="7"/>
    <x v="9"/>
    <x v="3"/>
  </r>
  <r>
    <s v="TX501740"/>
    <x v="17"/>
    <x v="9"/>
    <n v="63.7"/>
    <x v="46"/>
    <x v="63"/>
    <d v="2025-03-08T00:00:00"/>
    <x v="2"/>
    <x v="2"/>
    <x v="1"/>
    <x v="0"/>
    <x v="3"/>
    <x v="2"/>
    <x v="9"/>
    <x v="2"/>
  </r>
  <r>
    <s v="TX501741"/>
    <x v="5"/>
    <x v="11"/>
    <n v="62.9"/>
    <x v="1379"/>
    <x v="63"/>
    <d v="2025-03-10T00:00:00"/>
    <x v="1"/>
    <x v="3"/>
    <x v="2"/>
    <x v="0"/>
    <x v="3"/>
    <x v="0"/>
    <x v="9"/>
    <x v="1"/>
  </r>
  <r>
    <s v="TX501742"/>
    <x v="6"/>
    <x v="3"/>
    <n v="61.7"/>
    <x v="245"/>
    <x v="63"/>
    <d v="2025-03-08T00:00:00"/>
    <x v="2"/>
    <x v="2"/>
    <x v="2"/>
    <x v="0"/>
    <x v="3"/>
    <x v="2"/>
    <x v="9"/>
    <x v="2"/>
  </r>
  <r>
    <s v="TX501743"/>
    <x v="18"/>
    <x v="21"/>
    <n v="36.5"/>
    <x v="1380"/>
    <x v="63"/>
    <d v="2025-03-06T00:00:00"/>
    <x v="1"/>
    <x v="0"/>
    <x v="2"/>
    <x v="0"/>
    <x v="3"/>
    <x v="3"/>
    <x v="9"/>
    <x v="1"/>
  </r>
  <r>
    <s v="TX501744"/>
    <x v="11"/>
    <x v="2"/>
    <n v="98.6"/>
    <x v="1381"/>
    <x v="63"/>
    <d v="2025-03-08T00:00:00"/>
    <x v="3"/>
    <x v="0"/>
    <x v="4"/>
    <x v="0"/>
    <x v="3"/>
    <x v="2"/>
    <x v="9"/>
    <x v="3"/>
  </r>
  <r>
    <s v="TX501745"/>
    <x v="8"/>
    <x v="1"/>
    <n v="19.2"/>
    <x v="1139"/>
    <x v="63"/>
    <d v="2025-03-15T00:00:00"/>
    <x v="1"/>
    <x v="0"/>
    <x v="0"/>
    <x v="0"/>
    <x v="3"/>
    <x v="14"/>
    <x v="9"/>
    <x v="1"/>
  </r>
  <r>
    <s v="TX501746"/>
    <x v="3"/>
    <x v="13"/>
    <n v="55.6"/>
    <x v="335"/>
    <x v="63"/>
    <d v="2025-03-09T00:00:00"/>
    <x v="2"/>
    <x v="0"/>
    <x v="2"/>
    <x v="0"/>
    <x v="3"/>
    <x v="5"/>
    <x v="9"/>
    <x v="2"/>
  </r>
  <r>
    <s v="TX501747"/>
    <x v="5"/>
    <x v="13"/>
    <n v="56.4"/>
    <x v="1382"/>
    <x v="63"/>
    <d v="2025-03-06T00:00:00"/>
    <x v="2"/>
    <x v="1"/>
    <x v="0"/>
    <x v="0"/>
    <x v="3"/>
    <x v="3"/>
    <x v="9"/>
    <x v="2"/>
  </r>
  <r>
    <s v="TX501748"/>
    <x v="4"/>
    <x v="8"/>
    <n v="43.1"/>
    <x v="1383"/>
    <x v="63"/>
    <d v="2025-03-09T00:00:00"/>
    <x v="2"/>
    <x v="4"/>
    <x v="0"/>
    <x v="0"/>
    <x v="3"/>
    <x v="5"/>
    <x v="9"/>
    <x v="2"/>
  </r>
  <r>
    <s v="TX501749"/>
    <x v="1"/>
    <x v="1"/>
    <n v="77.3"/>
    <x v="1384"/>
    <x v="63"/>
    <d v="2025-03-07T00:00:00"/>
    <x v="1"/>
    <x v="0"/>
    <x v="0"/>
    <x v="0"/>
    <x v="6"/>
    <x v="1"/>
    <x v="9"/>
    <x v="1"/>
  </r>
  <r>
    <s v="TX501750"/>
    <x v="9"/>
    <x v="8"/>
    <n v="38.299999999999997"/>
    <x v="1347"/>
    <x v="63"/>
    <d v="2025-03-06T00:00:00"/>
    <x v="1"/>
    <x v="0"/>
    <x v="0"/>
    <x v="0"/>
    <x v="7"/>
    <x v="3"/>
    <x v="9"/>
    <x v="1"/>
  </r>
  <r>
    <s v="TX501751"/>
    <x v="0"/>
    <x v="3"/>
    <n v="16.8"/>
    <x v="557"/>
    <x v="63"/>
    <d v="2025-03-08T00:00:00"/>
    <x v="1"/>
    <x v="2"/>
    <x v="1"/>
    <x v="0"/>
    <x v="8"/>
    <x v="2"/>
    <x v="9"/>
    <x v="1"/>
  </r>
  <r>
    <s v="TX501752"/>
    <x v="2"/>
    <x v="2"/>
    <n v="63.2"/>
    <x v="1385"/>
    <x v="63"/>
    <d v="2025-03-06T00:00:00"/>
    <x v="2"/>
    <x v="0"/>
    <x v="2"/>
    <x v="0"/>
    <x v="8"/>
    <x v="3"/>
    <x v="9"/>
    <x v="2"/>
  </r>
  <r>
    <s v="TX501753"/>
    <x v="14"/>
    <x v="44"/>
    <n v="39.700000000000003"/>
    <x v="1386"/>
    <x v="63"/>
    <d v="2025-03-06T00:00:00"/>
    <x v="1"/>
    <x v="0"/>
    <x v="0"/>
    <x v="0"/>
    <x v="8"/>
    <x v="3"/>
    <x v="9"/>
    <x v="1"/>
  </r>
  <r>
    <s v="TX501754"/>
    <x v="10"/>
    <x v="2"/>
    <n v="45.8"/>
    <x v="1387"/>
    <x v="63"/>
    <d v="2025-03-06T00:00:00"/>
    <x v="2"/>
    <x v="1"/>
    <x v="2"/>
    <x v="0"/>
    <x v="8"/>
    <x v="3"/>
    <x v="9"/>
    <x v="2"/>
  </r>
  <r>
    <s v="TX501755"/>
    <x v="0"/>
    <x v="13"/>
    <n v="12.4"/>
    <x v="610"/>
    <x v="63"/>
    <d v="2025-03-08T00:00:00"/>
    <x v="1"/>
    <x v="0"/>
    <x v="0"/>
    <x v="0"/>
    <x v="8"/>
    <x v="2"/>
    <x v="9"/>
    <x v="1"/>
  </r>
  <r>
    <s v="TX501756"/>
    <x v="14"/>
    <x v="2"/>
    <n v="50.8"/>
    <x v="1388"/>
    <x v="64"/>
    <d v="2025-03-06T00:00:00"/>
    <x v="2"/>
    <x v="4"/>
    <x v="0"/>
    <x v="0"/>
    <x v="17"/>
    <x v="7"/>
    <x v="9"/>
    <x v="2"/>
  </r>
  <r>
    <s v="TX501757"/>
    <x v="9"/>
    <x v="0"/>
    <n v="76"/>
    <x v="998"/>
    <x v="64"/>
    <d v="2025-03-10T00:00:00"/>
    <x v="3"/>
    <x v="2"/>
    <x v="2"/>
    <x v="0"/>
    <x v="17"/>
    <x v="5"/>
    <x v="9"/>
    <x v="3"/>
  </r>
  <r>
    <s v="TX501758"/>
    <x v="1"/>
    <x v="1"/>
    <n v="51.9"/>
    <x v="1389"/>
    <x v="64"/>
    <d v="2025-03-07T00:00:00"/>
    <x v="1"/>
    <x v="1"/>
    <x v="2"/>
    <x v="0"/>
    <x v="26"/>
    <x v="3"/>
    <x v="9"/>
    <x v="1"/>
  </r>
  <r>
    <s v="TX501759"/>
    <x v="2"/>
    <x v="1"/>
    <n v="93.4"/>
    <x v="1390"/>
    <x v="64"/>
    <d v="2025-03-13T00:00:00"/>
    <x v="1"/>
    <x v="0"/>
    <x v="3"/>
    <x v="0"/>
    <x v="11"/>
    <x v="6"/>
    <x v="9"/>
    <x v="1"/>
  </r>
  <r>
    <s v="TX501760"/>
    <x v="7"/>
    <x v="13"/>
    <n v="30.8"/>
    <x v="827"/>
    <x v="64"/>
    <d v="2025-03-09T00:00:00"/>
    <x v="2"/>
    <x v="1"/>
    <x v="0"/>
    <x v="0"/>
    <x v="11"/>
    <x v="2"/>
    <x v="9"/>
    <x v="2"/>
  </r>
  <r>
    <s v="TX501761"/>
    <x v="2"/>
    <x v="0"/>
    <n v="143.19999999999999"/>
    <x v="1391"/>
    <x v="64"/>
    <d v="2025-03-09T00:00:00"/>
    <x v="1"/>
    <x v="2"/>
    <x v="0"/>
    <x v="0"/>
    <x v="11"/>
    <x v="2"/>
    <x v="9"/>
    <x v="1"/>
  </r>
  <r>
    <s v="TX501762"/>
    <x v="6"/>
    <x v="5"/>
    <n v="40.4"/>
    <x v="1392"/>
    <x v="64"/>
    <d v="2025-03-08T00:00:00"/>
    <x v="1"/>
    <x v="2"/>
    <x v="2"/>
    <x v="0"/>
    <x v="18"/>
    <x v="1"/>
    <x v="9"/>
    <x v="1"/>
  </r>
  <r>
    <s v="TX501763"/>
    <x v="2"/>
    <x v="10"/>
    <n v="131.5"/>
    <x v="1393"/>
    <x v="64"/>
    <d v="2025-03-08T00:00:00"/>
    <x v="1"/>
    <x v="1"/>
    <x v="1"/>
    <x v="0"/>
    <x v="18"/>
    <x v="1"/>
    <x v="9"/>
    <x v="1"/>
  </r>
  <r>
    <s v="TX501764"/>
    <x v="18"/>
    <x v="3"/>
    <n v="61.6"/>
    <x v="348"/>
    <x v="64"/>
    <d v="2025-03-07T00:00:00"/>
    <x v="1"/>
    <x v="2"/>
    <x v="0"/>
    <x v="0"/>
    <x v="21"/>
    <x v="3"/>
    <x v="9"/>
    <x v="1"/>
  </r>
  <r>
    <s v="TX501765"/>
    <x v="9"/>
    <x v="9"/>
    <n v="32.700000000000003"/>
    <x v="838"/>
    <x v="64"/>
    <d v="2025-03-08T00:00:00"/>
    <x v="1"/>
    <x v="2"/>
    <x v="0"/>
    <x v="0"/>
    <x v="1"/>
    <x v="1"/>
    <x v="9"/>
    <x v="1"/>
  </r>
  <r>
    <s v="TX501766"/>
    <x v="0"/>
    <x v="7"/>
    <n v="13.7"/>
    <x v="383"/>
    <x v="64"/>
    <d v="2025-03-07T00:00:00"/>
    <x v="1"/>
    <x v="0"/>
    <x v="2"/>
    <x v="0"/>
    <x v="3"/>
    <x v="3"/>
    <x v="9"/>
    <x v="1"/>
  </r>
  <r>
    <s v="TX501767"/>
    <x v="0"/>
    <x v="12"/>
    <n v="32.1"/>
    <x v="58"/>
    <x v="64"/>
    <d v="2025-03-07T00:00:00"/>
    <x v="1"/>
    <x v="4"/>
    <x v="1"/>
    <x v="0"/>
    <x v="3"/>
    <x v="3"/>
    <x v="9"/>
    <x v="1"/>
  </r>
  <r>
    <s v="TX501768"/>
    <x v="14"/>
    <x v="8"/>
    <n v="12"/>
    <x v="854"/>
    <x v="64"/>
    <d v="2025-03-07T00:00:00"/>
    <x v="1"/>
    <x v="1"/>
    <x v="0"/>
    <x v="0"/>
    <x v="24"/>
    <x v="3"/>
    <x v="9"/>
    <x v="1"/>
  </r>
  <r>
    <s v="TX501769"/>
    <x v="12"/>
    <x v="0"/>
    <n v="64.3"/>
    <x v="1394"/>
    <x v="64"/>
    <d v="2025-03-08T00:00:00"/>
    <x v="2"/>
    <x v="2"/>
    <x v="2"/>
    <x v="0"/>
    <x v="6"/>
    <x v="1"/>
    <x v="9"/>
    <x v="2"/>
  </r>
  <r>
    <s v="TX501770"/>
    <x v="1"/>
    <x v="2"/>
    <n v="58.2"/>
    <x v="1395"/>
    <x v="64"/>
    <d v="2025-03-08T00:00:00"/>
    <x v="2"/>
    <x v="1"/>
    <x v="2"/>
    <x v="0"/>
    <x v="6"/>
    <x v="1"/>
    <x v="9"/>
    <x v="2"/>
  </r>
  <r>
    <s v="TX501771"/>
    <x v="6"/>
    <x v="12"/>
    <n v="59.2"/>
    <x v="1396"/>
    <x v="64"/>
    <d v="2025-03-06T00:00:00"/>
    <x v="1"/>
    <x v="1"/>
    <x v="2"/>
    <x v="0"/>
    <x v="6"/>
    <x v="7"/>
    <x v="9"/>
    <x v="1"/>
  </r>
  <r>
    <s v="TX501772"/>
    <x v="10"/>
    <x v="5"/>
    <n v="35.6"/>
    <x v="590"/>
    <x v="64"/>
    <d v="2025-03-13T00:00:00"/>
    <x v="1"/>
    <x v="0"/>
    <x v="2"/>
    <x v="0"/>
    <x v="8"/>
    <x v="6"/>
    <x v="9"/>
    <x v="1"/>
  </r>
  <r>
    <s v="TX501773"/>
    <x v="16"/>
    <x v="8"/>
    <n v="37"/>
    <x v="1397"/>
    <x v="64"/>
    <d v="2025-03-10T00:00:00"/>
    <x v="2"/>
    <x v="2"/>
    <x v="1"/>
    <x v="0"/>
    <x v="8"/>
    <x v="5"/>
    <x v="9"/>
    <x v="2"/>
  </r>
  <r>
    <s v="TX501774"/>
    <x v="1"/>
    <x v="15"/>
    <n v="80.8"/>
    <x v="1398"/>
    <x v="64"/>
    <d v="2025-03-08T00:00:00"/>
    <x v="2"/>
    <x v="0"/>
    <x v="0"/>
    <x v="0"/>
    <x v="8"/>
    <x v="1"/>
    <x v="9"/>
    <x v="2"/>
  </r>
  <r>
    <s v="TX501775"/>
    <x v="8"/>
    <x v="1"/>
    <n v="63.2"/>
    <x v="628"/>
    <x v="64"/>
    <d v="2025-03-07T00:00:00"/>
    <x v="1"/>
    <x v="0"/>
    <x v="1"/>
    <x v="0"/>
    <x v="8"/>
    <x v="3"/>
    <x v="9"/>
    <x v="1"/>
  </r>
  <r>
    <s v="TX501776"/>
    <x v="3"/>
    <x v="1"/>
    <n v="40.799999999999997"/>
    <x v="330"/>
    <x v="64"/>
    <d v="2025-03-08T00:00:00"/>
    <x v="1"/>
    <x v="0"/>
    <x v="1"/>
    <x v="0"/>
    <x v="17"/>
    <x v="1"/>
    <x v="9"/>
    <x v="1"/>
  </r>
  <r>
    <s v="TX501777"/>
    <x v="13"/>
    <x v="13"/>
    <n v="25.7"/>
    <x v="1399"/>
    <x v="64"/>
    <d v="2025-03-08T00:00:00"/>
    <x v="1"/>
    <x v="4"/>
    <x v="0"/>
    <x v="0"/>
    <x v="18"/>
    <x v="1"/>
    <x v="9"/>
    <x v="1"/>
  </r>
  <r>
    <s v="TX501778"/>
    <x v="16"/>
    <x v="1"/>
    <n v="49.9"/>
    <x v="350"/>
    <x v="64"/>
    <d v="2025-03-09T00:00:00"/>
    <x v="1"/>
    <x v="0"/>
    <x v="0"/>
    <x v="0"/>
    <x v="20"/>
    <x v="2"/>
    <x v="9"/>
    <x v="1"/>
  </r>
  <r>
    <s v="TX501779"/>
    <x v="8"/>
    <x v="1"/>
    <n v="20.2"/>
    <x v="1400"/>
    <x v="64"/>
    <d v="2025-03-08T00:00:00"/>
    <x v="2"/>
    <x v="3"/>
    <x v="0"/>
    <x v="0"/>
    <x v="21"/>
    <x v="1"/>
    <x v="9"/>
    <x v="2"/>
  </r>
  <r>
    <s v="TX501780"/>
    <x v="6"/>
    <x v="2"/>
    <n v="48.4"/>
    <x v="1401"/>
    <x v="64"/>
    <d v="2025-03-11T00:00:00"/>
    <x v="2"/>
    <x v="0"/>
    <x v="2"/>
    <x v="0"/>
    <x v="21"/>
    <x v="0"/>
    <x v="9"/>
    <x v="2"/>
  </r>
  <r>
    <s v="TX501781"/>
    <x v="6"/>
    <x v="1"/>
    <n v="81"/>
    <x v="915"/>
    <x v="64"/>
    <d v="2025-03-07T00:00:00"/>
    <x v="2"/>
    <x v="1"/>
    <x v="2"/>
    <x v="0"/>
    <x v="21"/>
    <x v="3"/>
    <x v="9"/>
    <x v="2"/>
  </r>
  <r>
    <s v="TX501782"/>
    <x v="8"/>
    <x v="13"/>
    <n v="19.899999999999999"/>
    <x v="1402"/>
    <x v="64"/>
    <d v="2025-03-09T00:00:00"/>
    <x v="2"/>
    <x v="0"/>
    <x v="1"/>
    <x v="0"/>
    <x v="22"/>
    <x v="2"/>
    <x v="9"/>
    <x v="2"/>
  </r>
  <r>
    <s v="TX501783"/>
    <x v="4"/>
    <x v="12"/>
    <n v="32.200000000000003"/>
    <x v="1403"/>
    <x v="64"/>
    <d v="2025-03-16T00:00:00"/>
    <x v="1"/>
    <x v="0"/>
    <x v="0"/>
    <x v="0"/>
    <x v="22"/>
    <x v="14"/>
    <x v="9"/>
    <x v="1"/>
  </r>
  <r>
    <s v="TX501784"/>
    <x v="5"/>
    <x v="2"/>
    <n v="76.8"/>
    <x v="1404"/>
    <x v="64"/>
    <d v="2025-03-07T00:00:00"/>
    <x v="2"/>
    <x v="0"/>
    <x v="1"/>
    <x v="0"/>
    <x v="3"/>
    <x v="3"/>
    <x v="9"/>
    <x v="2"/>
  </r>
  <r>
    <s v="TX501785"/>
    <x v="6"/>
    <x v="1"/>
    <n v="41.9"/>
    <x v="1405"/>
    <x v="64"/>
    <d v="2025-03-08T00:00:00"/>
    <x v="2"/>
    <x v="0"/>
    <x v="0"/>
    <x v="0"/>
    <x v="3"/>
    <x v="1"/>
    <x v="9"/>
    <x v="2"/>
  </r>
  <r>
    <s v="TX501786"/>
    <x v="0"/>
    <x v="3"/>
    <n v="34"/>
    <x v="1248"/>
    <x v="64"/>
    <d v="2025-03-08T00:00:00"/>
    <x v="2"/>
    <x v="1"/>
    <x v="2"/>
    <x v="0"/>
    <x v="3"/>
    <x v="1"/>
    <x v="9"/>
    <x v="2"/>
  </r>
  <r>
    <s v="TX501787"/>
    <x v="7"/>
    <x v="3"/>
    <n v="61.3"/>
    <x v="1406"/>
    <x v="64"/>
    <d v="2025-03-06T00:00:00"/>
    <x v="2"/>
    <x v="4"/>
    <x v="2"/>
    <x v="0"/>
    <x v="3"/>
    <x v="7"/>
    <x v="9"/>
    <x v="2"/>
  </r>
  <r>
    <s v="TX501788"/>
    <x v="9"/>
    <x v="0"/>
    <n v="54.7"/>
    <x v="1407"/>
    <x v="65"/>
    <d v="2025-03-08T00:00:00"/>
    <x v="1"/>
    <x v="0"/>
    <x v="1"/>
    <x v="0"/>
    <x v="3"/>
    <x v="3"/>
    <x v="9"/>
    <x v="1"/>
  </r>
  <r>
    <s v="TX501789"/>
    <x v="6"/>
    <x v="7"/>
    <n v="84.7"/>
    <x v="1408"/>
    <x v="65"/>
    <d v="2025-03-11T00:00:00"/>
    <x v="2"/>
    <x v="0"/>
    <x v="0"/>
    <x v="0"/>
    <x v="3"/>
    <x v="5"/>
    <x v="9"/>
    <x v="2"/>
  </r>
  <r>
    <s v="TX501790"/>
    <x v="1"/>
    <x v="2"/>
    <n v="93.4"/>
    <x v="1409"/>
    <x v="65"/>
    <d v="2025-03-11T00:00:00"/>
    <x v="2"/>
    <x v="3"/>
    <x v="0"/>
    <x v="0"/>
    <x v="3"/>
    <x v="5"/>
    <x v="9"/>
    <x v="2"/>
  </r>
  <r>
    <s v="TX501791"/>
    <x v="8"/>
    <x v="9"/>
    <n v="27"/>
    <x v="340"/>
    <x v="65"/>
    <d v="2025-03-10T00:00:00"/>
    <x v="1"/>
    <x v="0"/>
    <x v="1"/>
    <x v="0"/>
    <x v="3"/>
    <x v="2"/>
    <x v="9"/>
    <x v="1"/>
  </r>
  <r>
    <s v="TX501792"/>
    <x v="0"/>
    <x v="12"/>
    <n v="10.9"/>
    <x v="1195"/>
    <x v="65"/>
    <d v="2025-03-08T00:00:00"/>
    <x v="1"/>
    <x v="2"/>
    <x v="0"/>
    <x v="0"/>
    <x v="3"/>
    <x v="3"/>
    <x v="9"/>
    <x v="1"/>
  </r>
  <r>
    <s v="TX501793"/>
    <x v="16"/>
    <x v="2"/>
    <n v="48"/>
    <x v="1410"/>
    <x v="65"/>
    <d v="2025-03-12T00:00:00"/>
    <x v="2"/>
    <x v="4"/>
    <x v="0"/>
    <x v="0"/>
    <x v="3"/>
    <x v="0"/>
    <x v="9"/>
    <x v="2"/>
  </r>
  <r>
    <s v="TX501794"/>
    <x v="5"/>
    <x v="1"/>
    <n v="67.900000000000006"/>
    <x v="1411"/>
    <x v="65"/>
    <d v="2025-03-08T00:00:00"/>
    <x v="1"/>
    <x v="0"/>
    <x v="2"/>
    <x v="0"/>
    <x v="23"/>
    <x v="3"/>
    <x v="9"/>
    <x v="1"/>
  </r>
  <r>
    <s v="TX501795"/>
    <x v="4"/>
    <x v="2"/>
    <n v="36"/>
    <x v="807"/>
    <x v="65"/>
    <d v="2025-03-08T00:00:00"/>
    <x v="1"/>
    <x v="1"/>
    <x v="0"/>
    <x v="0"/>
    <x v="6"/>
    <x v="3"/>
    <x v="9"/>
    <x v="1"/>
  </r>
  <r>
    <s v="TX501796"/>
    <x v="2"/>
    <x v="0"/>
    <n v="128.80000000000001"/>
    <x v="1403"/>
    <x v="65"/>
    <d v="2025-03-08T00:00:00"/>
    <x v="1"/>
    <x v="4"/>
    <x v="2"/>
    <x v="0"/>
    <x v="6"/>
    <x v="3"/>
    <x v="9"/>
    <x v="1"/>
  </r>
  <r>
    <s v="TX501797"/>
    <x v="18"/>
    <x v="3"/>
    <n v="33.299999999999997"/>
    <x v="1412"/>
    <x v="65"/>
    <d v="2025-03-08T00:00:00"/>
    <x v="2"/>
    <x v="3"/>
    <x v="0"/>
    <x v="0"/>
    <x v="8"/>
    <x v="3"/>
    <x v="9"/>
    <x v="2"/>
  </r>
  <r>
    <s v="TX501798"/>
    <x v="10"/>
    <x v="2"/>
    <n v="37.799999999999997"/>
    <x v="1413"/>
    <x v="65"/>
    <d v="2025-03-09T00:00:00"/>
    <x v="1"/>
    <x v="1"/>
    <x v="2"/>
    <x v="0"/>
    <x v="8"/>
    <x v="1"/>
    <x v="9"/>
    <x v="1"/>
  </r>
  <r>
    <s v="TX501799"/>
    <x v="5"/>
    <x v="2"/>
    <n v="26"/>
    <x v="292"/>
    <x v="65"/>
    <d v="2025-03-12T00:00:00"/>
    <x v="2"/>
    <x v="0"/>
    <x v="0"/>
    <x v="0"/>
    <x v="8"/>
    <x v="0"/>
    <x v="9"/>
    <x v="2"/>
  </r>
  <r>
    <s v="TX501800"/>
    <x v="8"/>
    <x v="10"/>
    <n v="28.3"/>
    <x v="1414"/>
    <x v="65"/>
    <d v="2025-03-08T00:00:00"/>
    <x v="2"/>
    <x v="3"/>
    <x v="4"/>
    <x v="0"/>
    <x v="8"/>
    <x v="3"/>
    <x v="9"/>
    <x v="2"/>
  </r>
  <r>
    <s v="TX501801"/>
    <x v="8"/>
    <x v="12"/>
    <n v="31.3"/>
    <x v="1415"/>
    <x v="65"/>
    <d v="2025-03-07T00:00:00"/>
    <x v="2"/>
    <x v="0"/>
    <x v="0"/>
    <x v="0"/>
    <x v="8"/>
    <x v="7"/>
    <x v="9"/>
    <x v="2"/>
  </r>
  <r>
    <s v="TX501802"/>
    <x v="7"/>
    <x v="2"/>
    <n v="69.5"/>
    <x v="1416"/>
    <x v="65"/>
    <d v="2025-03-08T00:00:00"/>
    <x v="2"/>
    <x v="3"/>
    <x v="2"/>
    <x v="0"/>
    <x v="8"/>
    <x v="3"/>
    <x v="9"/>
    <x v="2"/>
  </r>
  <r>
    <s v="TX501803"/>
    <x v="0"/>
    <x v="1"/>
    <n v="16.7"/>
    <x v="1417"/>
    <x v="65"/>
    <d v="2025-03-08T00:00:00"/>
    <x v="2"/>
    <x v="3"/>
    <x v="1"/>
    <x v="0"/>
    <x v="8"/>
    <x v="3"/>
    <x v="9"/>
    <x v="2"/>
  </r>
  <r>
    <s v="TX501804"/>
    <x v="9"/>
    <x v="1"/>
    <n v="62.6"/>
    <x v="1415"/>
    <x v="65"/>
    <d v="2025-03-08T00:00:00"/>
    <x v="1"/>
    <x v="2"/>
    <x v="2"/>
    <x v="0"/>
    <x v="9"/>
    <x v="3"/>
    <x v="9"/>
    <x v="1"/>
  </r>
  <r>
    <s v="TX501805"/>
    <x v="7"/>
    <x v="0"/>
    <n v="81.2"/>
    <x v="1101"/>
    <x v="65"/>
    <d v="2025-03-13T00:00:00"/>
    <x v="1"/>
    <x v="4"/>
    <x v="4"/>
    <x v="0"/>
    <x v="9"/>
    <x v="4"/>
    <x v="9"/>
    <x v="1"/>
  </r>
  <r>
    <s v="TX501806"/>
    <x v="0"/>
    <x v="7"/>
    <n v="12.7"/>
    <x v="520"/>
    <x v="65"/>
    <d v="2025-03-08T00:00:00"/>
    <x v="2"/>
    <x v="0"/>
    <x v="2"/>
    <x v="0"/>
    <x v="9"/>
    <x v="3"/>
    <x v="9"/>
    <x v="2"/>
  </r>
  <r>
    <s v="TX501807"/>
    <x v="7"/>
    <x v="12"/>
    <n v="77.7"/>
    <x v="1418"/>
    <x v="66"/>
    <d v="2025-03-12T00:00:00"/>
    <x v="1"/>
    <x v="1"/>
    <x v="0"/>
    <x v="0"/>
    <x v="11"/>
    <x v="5"/>
    <x v="9"/>
    <x v="1"/>
  </r>
  <r>
    <s v="TX501808"/>
    <x v="5"/>
    <x v="1"/>
    <n v="37.299999999999997"/>
    <x v="110"/>
    <x v="66"/>
    <d v="2025-03-09T00:00:00"/>
    <x v="2"/>
    <x v="0"/>
    <x v="2"/>
    <x v="0"/>
    <x v="18"/>
    <x v="3"/>
    <x v="9"/>
    <x v="2"/>
  </r>
  <r>
    <s v="TX501809"/>
    <x v="10"/>
    <x v="12"/>
    <n v="35.6"/>
    <x v="1419"/>
    <x v="66"/>
    <d v="2025-03-10T00:00:00"/>
    <x v="2"/>
    <x v="1"/>
    <x v="1"/>
    <x v="0"/>
    <x v="19"/>
    <x v="1"/>
    <x v="9"/>
    <x v="2"/>
  </r>
  <r>
    <s v="TX501810"/>
    <x v="2"/>
    <x v="2"/>
    <n v="95"/>
    <x v="1420"/>
    <x v="66"/>
    <d v="2025-03-12T00:00:00"/>
    <x v="2"/>
    <x v="2"/>
    <x v="2"/>
    <x v="0"/>
    <x v="56"/>
    <x v="5"/>
    <x v="9"/>
    <x v="2"/>
  </r>
  <r>
    <s v="TX501811"/>
    <x v="2"/>
    <x v="12"/>
    <n v="172.1"/>
    <x v="1421"/>
    <x v="66"/>
    <d v="2025-03-12T00:00:00"/>
    <x v="3"/>
    <x v="2"/>
    <x v="2"/>
    <x v="0"/>
    <x v="21"/>
    <x v="5"/>
    <x v="9"/>
    <x v="3"/>
  </r>
  <r>
    <s v="TX501812"/>
    <x v="2"/>
    <x v="1"/>
    <n v="233"/>
    <x v="1147"/>
    <x v="66"/>
    <d v="2025-03-11T00:00:00"/>
    <x v="2"/>
    <x v="1"/>
    <x v="0"/>
    <x v="0"/>
    <x v="21"/>
    <x v="2"/>
    <x v="9"/>
    <x v="2"/>
  </r>
  <r>
    <s v="TX501813"/>
    <x v="0"/>
    <x v="0"/>
    <n v="43.5"/>
    <x v="1422"/>
    <x v="66"/>
    <d v="2025-03-09T00:00:00"/>
    <x v="2"/>
    <x v="2"/>
    <x v="2"/>
    <x v="0"/>
    <x v="21"/>
    <x v="3"/>
    <x v="9"/>
    <x v="2"/>
  </r>
  <r>
    <s v="TX501814"/>
    <x v="9"/>
    <x v="1"/>
    <n v="47.8"/>
    <x v="139"/>
    <x v="66"/>
    <d v="2025-03-11T00:00:00"/>
    <x v="1"/>
    <x v="4"/>
    <x v="2"/>
    <x v="0"/>
    <x v="1"/>
    <x v="2"/>
    <x v="9"/>
    <x v="1"/>
  </r>
  <r>
    <s v="TX501815"/>
    <x v="12"/>
    <x v="1"/>
    <n v="65.8"/>
    <x v="1423"/>
    <x v="66"/>
    <d v="2025-03-10T00:00:00"/>
    <x v="2"/>
    <x v="0"/>
    <x v="3"/>
    <x v="0"/>
    <x v="33"/>
    <x v="1"/>
    <x v="9"/>
    <x v="2"/>
  </r>
  <r>
    <s v="TX501816"/>
    <x v="15"/>
    <x v="5"/>
    <n v="38.700000000000003"/>
    <x v="1424"/>
    <x v="66"/>
    <d v="2025-03-08T00:00:00"/>
    <x v="1"/>
    <x v="0"/>
    <x v="0"/>
    <x v="0"/>
    <x v="22"/>
    <x v="7"/>
    <x v="9"/>
    <x v="1"/>
  </r>
  <r>
    <s v="TX501817"/>
    <x v="3"/>
    <x v="12"/>
    <n v="55.7"/>
    <x v="839"/>
    <x v="66"/>
    <d v="2025-03-10T00:00:00"/>
    <x v="3"/>
    <x v="0"/>
    <x v="1"/>
    <x v="0"/>
    <x v="22"/>
    <x v="1"/>
    <x v="9"/>
    <x v="3"/>
  </r>
  <r>
    <s v="TX501818"/>
    <x v="7"/>
    <x v="1"/>
    <n v="102.4"/>
    <x v="403"/>
    <x v="66"/>
    <d v="2025-03-08T00:00:00"/>
    <x v="2"/>
    <x v="1"/>
    <x v="0"/>
    <x v="0"/>
    <x v="3"/>
    <x v="7"/>
    <x v="9"/>
    <x v="2"/>
  </r>
  <r>
    <s v="TX501819"/>
    <x v="1"/>
    <x v="0"/>
    <n v="92"/>
    <x v="988"/>
    <x v="66"/>
    <d v="2025-03-12T00:00:00"/>
    <x v="0"/>
    <x v="2"/>
    <x v="0"/>
    <x v="0"/>
    <x v="3"/>
    <x v="5"/>
    <x v="9"/>
    <x v="0"/>
  </r>
  <r>
    <s v="TX501820"/>
    <x v="6"/>
    <x v="12"/>
    <n v="75.900000000000006"/>
    <x v="80"/>
    <x v="66"/>
    <d v="2025-03-10T00:00:00"/>
    <x v="2"/>
    <x v="1"/>
    <x v="0"/>
    <x v="0"/>
    <x v="3"/>
    <x v="1"/>
    <x v="9"/>
    <x v="2"/>
  </r>
  <r>
    <s v="TX501821"/>
    <x v="1"/>
    <x v="12"/>
    <n v="36.200000000000003"/>
    <x v="353"/>
    <x v="66"/>
    <d v="2025-03-09T00:00:00"/>
    <x v="2"/>
    <x v="1"/>
    <x v="0"/>
    <x v="0"/>
    <x v="3"/>
    <x v="3"/>
    <x v="9"/>
    <x v="2"/>
  </r>
  <r>
    <s v="TX501822"/>
    <x v="6"/>
    <x v="45"/>
    <n v="83.5"/>
    <x v="1425"/>
    <x v="66"/>
    <d v="2025-03-10T00:00:00"/>
    <x v="0"/>
    <x v="3"/>
    <x v="0"/>
    <x v="0"/>
    <x v="3"/>
    <x v="1"/>
    <x v="9"/>
    <x v="0"/>
  </r>
  <r>
    <s v="TX501823"/>
    <x v="19"/>
    <x v="4"/>
    <n v="52.4"/>
    <x v="1092"/>
    <x v="66"/>
    <d v="2025-03-08T00:00:00"/>
    <x v="1"/>
    <x v="2"/>
    <x v="0"/>
    <x v="0"/>
    <x v="3"/>
    <x v="7"/>
    <x v="9"/>
    <x v="1"/>
  </r>
  <r>
    <s v="TX501824"/>
    <x v="12"/>
    <x v="2"/>
    <n v="69.5"/>
    <x v="1416"/>
    <x v="66"/>
    <d v="2025-03-09T00:00:00"/>
    <x v="3"/>
    <x v="4"/>
    <x v="0"/>
    <x v="0"/>
    <x v="3"/>
    <x v="3"/>
    <x v="9"/>
    <x v="3"/>
  </r>
  <r>
    <s v="TX501825"/>
    <x v="0"/>
    <x v="0"/>
    <n v="15.5"/>
    <x v="1426"/>
    <x v="66"/>
    <d v="2025-03-10T00:00:00"/>
    <x v="1"/>
    <x v="0"/>
    <x v="0"/>
    <x v="0"/>
    <x v="3"/>
    <x v="1"/>
    <x v="9"/>
    <x v="1"/>
  </r>
  <r>
    <s v="TX501826"/>
    <x v="4"/>
    <x v="12"/>
    <n v="35.200000000000003"/>
    <x v="1427"/>
    <x v="66"/>
    <d v="2025-03-09T00:00:00"/>
    <x v="2"/>
    <x v="2"/>
    <x v="2"/>
    <x v="0"/>
    <x v="3"/>
    <x v="3"/>
    <x v="9"/>
    <x v="2"/>
  </r>
  <r>
    <s v="TX501827"/>
    <x v="8"/>
    <x v="13"/>
    <n v="34.6"/>
    <x v="1428"/>
    <x v="66"/>
    <d v="2025-03-09T00:00:00"/>
    <x v="0"/>
    <x v="0"/>
    <x v="1"/>
    <x v="0"/>
    <x v="3"/>
    <x v="3"/>
    <x v="9"/>
    <x v="0"/>
  </r>
  <r>
    <s v="TX501828"/>
    <x v="4"/>
    <x v="0"/>
    <n v="21.3"/>
    <x v="1429"/>
    <x v="67"/>
    <d v="2025-03-10T00:00:00"/>
    <x v="1"/>
    <x v="2"/>
    <x v="1"/>
    <x v="0"/>
    <x v="3"/>
    <x v="3"/>
    <x v="10"/>
    <x v="1"/>
  </r>
  <r>
    <s v="TX501829"/>
    <x v="6"/>
    <x v="1"/>
    <n v="136.5"/>
    <x v="1430"/>
    <x v="67"/>
    <d v="2025-03-15T00:00:00"/>
    <x v="2"/>
    <x v="0"/>
    <x v="0"/>
    <x v="0"/>
    <x v="37"/>
    <x v="4"/>
    <x v="10"/>
    <x v="2"/>
  </r>
  <r>
    <s v="TX501830"/>
    <x v="9"/>
    <x v="3"/>
    <n v="30.7"/>
    <x v="1431"/>
    <x v="67"/>
    <d v="2025-03-10T00:00:00"/>
    <x v="1"/>
    <x v="2"/>
    <x v="2"/>
    <x v="0"/>
    <x v="25"/>
    <x v="3"/>
    <x v="10"/>
    <x v="1"/>
  </r>
  <r>
    <s v="TX501831"/>
    <x v="1"/>
    <x v="1"/>
    <n v="61.6"/>
    <x v="1432"/>
    <x v="67"/>
    <d v="2025-03-10T00:00:00"/>
    <x v="2"/>
    <x v="2"/>
    <x v="2"/>
    <x v="0"/>
    <x v="23"/>
    <x v="3"/>
    <x v="10"/>
    <x v="2"/>
  </r>
  <r>
    <s v="TX501832"/>
    <x v="6"/>
    <x v="12"/>
    <n v="54.3"/>
    <x v="1433"/>
    <x v="67"/>
    <d v="2025-03-11T00:00:00"/>
    <x v="0"/>
    <x v="4"/>
    <x v="0"/>
    <x v="0"/>
    <x v="7"/>
    <x v="1"/>
    <x v="10"/>
    <x v="0"/>
  </r>
  <r>
    <s v="TX501833"/>
    <x v="1"/>
    <x v="1"/>
    <n v="44.1"/>
    <x v="1047"/>
    <x v="67"/>
    <d v="2025-03-21T00:00:00"/>
    <x v="2"/>
    <x v="0"/>
    <x v="2"/>
    <x v="0"/>
    <x v="8"/>
    <x v="13"/>
    <x v="10"/>
    <x v="2"/>
  </r>
  <r>
    <s v="TX501834"/>
    <x v="8"/>
    <x v="12"/>
    <n v="43.5"/>
    <x v="1434"/>
    <x v="67"/>
    <d v="2025-03-15T00:00:00"/>
    <x v="1"/>
    <x v="3"/>
    <x v="0"/>
    <x v="0"/>
    <x v="8"/>
    <x v="4"/>
    <x v="10"/>
    <x v="1"/>
  </r>
  <r>
    <s v="TX501835"/>
    <x v="8"/>
    <x v="2"/>
    <n v="48.2"/>
    <x v="1435"/>
    <x v="67"/>
    <d v="2025-03-13T00:00:00"/>
    <x v="1"/>
    <x v="3"/>
    <x v="1"/>
    <x v="0"/>
    <x v="8"/>
    <x v="5"/>
    <x v="10"/>
    <x v="1"/>
  </r>
  <r>
    <s v="TX501836"/>
    <x v="19"/>
    <x v="0"/>
    <n v="13.7"/>
    <x v="1436"/>
    <x v="67"/>
    <d v="2025-03-10T00:00:00"/>
    <x v="2"/>
    <x v="2"/>
    <x v="2"/>
    <x v="0"/>
    <x v="8"/>
    <x v="3"/>
    <x v="10"/>
    <x v="2"/>
  </r>
  <r>
    <s v="TX501837"/>
    <x v="2"/>
    <x v="1"/>
    <n v="110.5"/>
    <x v="1437"/>
    <x v="67"/>
    <d v="2025-03-10T00:00:00"/>
    <x v="2"/>
    <x v="0"/>
    <x v="1"/>
    <x v="0"/>
    <x v="8"/>
    <x v="3"/>
    <x v="10"/>
    <x v="2"/>
  </r>
  <r>
    <s v="TX501838"/>
    <x v="8"/>
    <x v="2"/>
    <n v="26"/>
    <x v="292"/>
    <x v="67"/>
    <d v="2025-03-14T00:00:00"/>
    <x v="2"/>
    <x v="1"/>
    <x v="1"/>
    <x v="0"/>
    <x v="8"/>
    <x v="0"/>
    <x v="10"/>
    <x v="2"/>
  </r>
  <r>
    <s v="TX501839"/>
    <x v="2"/>
    <x v="7"/>
    <n v="140.69999999999999"/>
    <x v="1438"/>
    <x v="67"/>
    <d v="2025-03-15T00:00:00"/>
    <x v="1"/>
    <x v="3"/>
    <x v="1"/>
    <x v="0"/>
    <x v="8"/>
    <x v="4"/>
    <x v="10"/>
    <x v="1"/>
  </r>
  <r>
    <s v="TX501840"/>
    <x v="17"/>
    <x v="1"/>
    <n v="41.7"/>
    <x v="925"/>
    <x v="67"/>
    <d v="2025-03-17T00:00:00"/>
    <x v="2"/>
    <x v="0"/>
    <x v="4"/>
    <x v="0"/>
    <x v="8"/>
    <x v="9"/>
    <x v="10"/>
    <x v="2"/>
  </r>
  <r>
    <s v="TX501841"/>
    <x v="2"/>
    <x v="1"/>
    <n v="135.1"/>
    <x v="1439"/>
    <x v="67"/>
    <d v="2025-03-10T00:00:00"/>
    <x v="1"/>
    <x v="0"/>
    <x v="2"/>
    <x v="0"/>
    <x v="17"/>
    <x v="3"/>
    <x v="10"/>
    <x v="1"/>
  </r>
  <r>
    <s v="TX501842"/>
    <x v="12"/>
    <x v="32"/>
    <n v="95.5"/>
    <x v="1440"/>
    <x v="67"/>
    <d v="2025-03-10T00:00:00"/>
    <x v="2"/>
    <x v="4"/>
    <x v="4"/>
    <x v="0"/>
    <x v="26"/>
    <x v="3"/>
    <x v="10"/>
    <x v="2"/>
  </r>
  <r>
    <s v="TX501843"/>
    <x v="15"/>
    <x v="0"/>
    <n v="25.5"/>
    <x v="1441"/>
    <x v="67"/>
    <d v="2025-03-12T00:00:00"/>
    <x v="0"/>
    <x v="2"/>
    <x v="2"/>
    <x v="0"/>
    <x v="11"/>
    <x v="2"/>
    <x v="10"/>
    <x v="0"/>
  </r>
  <r>
    <s v="TX501844"/>
    <x v="1"/>
    <x v="0"/>
    <n v="42.6"/>
    <x v="440"/>
    <x v="67"/>
    <d v="2025-03-13T00:00:00"/>
    <x v="2"/>
    <x v="0"/>
    <x v="0"/>
    <x v="0"/>
    <x v="11"/>
    <x v="5"/>
    <x v="10"/>
    <x v="2"/>
  </r>
  <r>
    <s v="TX501845"/>
    <x v="8"/>
    <x v="20"/>
    <n v="32.4"/>
    <x v="1442"/>
    <x v="67"/>
    <d v="2025-03-10T00:00:00"/>
    <x v="1"/>
    <x v="1"/>
    <x v="1"/>
    <x v="0"/>
    <x v="11"/>
    <x v="3"/>
    <x v="10"/>
    <x v="1"/>
  </r>
  <r>
    <s v="TX501846"/>
    <x v="4"/>
    <x v="12"/>
    <n v="20.2"/>
    <x v="1443"/>
    <x v="67"/>
    <d v="2025-03-10T00:00:00"/>
    <x v="3"/>
    <x v="2"/>
    <x v="0"/>
    <x v="0"/>
    <x v="11"/>
    <x v="3"/>
    <x v="10"/>
    <x v="3"/>
  </r>
  <r>
    <s v="TX501847"/>
    <x v="16"/>
    <x v="2"/>
    <n v="52.5"/>
    <x v="905"/>
    <x v="67"/>
    <d v="2025-03-14T00:00:00"/>
    <x v="2"/>
    <x v="4"/>
    <x v="0"/>
    <x v="0"/>
    <x v="18"/>
    <x v="0"/>
    <x v="10"/>
    <x v="2"/>
  </r>
  <r>
    <s v="TX501848"/>
    <x v="2"/>
    <x v="9"/>
    <n v="59.9"/>
    <x v="1444"/>
    <x v="67"/>
    <d v="2025-03-11T00:00:00"/>
    <x v="2"/>
    <x v="2"/>
    <x v="0"/>
    <x v="0"/>
    <x v="19"/>
    <x v="1"/>
    <x v="10"/>
    <x v="2"/>
  </r>
  <r>
    <s v="TX501849"/>
    <x v="4"/>
    <x v="1"/>
    <n v="53.2"/>
    <x v="793"/>
    <x v="67"/>
    <d v="2025-03-10T00:00:00"/>
    <x v="2"/>
    <x v="1"/>
    <x v="3"/>
    <x v="0"/>
    <x v="20"/>
    <x v="3"/>
    <x v="10"/>
    <x v="2"/>
  </r>
  <r>
    <s v="TX501850"/>
    <x v="2"/>
    <x v="1"/>
    <n v="60"/>
    <x v="160"/>
    <x v="67"/>
    <d v="2025-03-15T00:00:00"/>
    <x v="1"/>
    <x v="1"/>
    <x v="2"/>
    <x v="0"/>
    <x v="20"/>
    <x v="4"/>
    <x v="10"/>
    <x v="1"/>
  </r>
  <r>
    <s v="TX501851"/>
    <x v="8"/>
    <x v="2"/>
    <n v="29.3"/>
    <x v="1205"/>
    <x v="67"/>
    <d v="2025-03-10T00:00:00"/>
    <x v="2"/>
    <x v="4"/>
    <x v="0"/>
    <x v="0"/>
    <x v="13"/>
    <x v="3"/>
    <x v="10"/>
    <x v="2"/>
  </r>
  <r>
    <s v="TX501852"/>
    <x v="12"/>
    <x v="1"/>
    <n v="55.4"/>
    <x v="806"/>
    <x v="67"/>
    <d v="2025-03-10T00:00:00"/>
    <x v="2"/>
    <x v="0"/>
    <x v="2"/>
    <x v="0"/>
    <x v="21"/>
    <x v="3"/>
    <x v="10"/>
    <x v="2"/>
  </r>
  <r>
    <s v="TX501853"/>
    <x v="0"/>
    <x v="9"/>
    <n v="20.100000000000001"/>
    <x v="427"/>
    <x v="67"/>
    <d v="2025-03-11T00:00:00"/>
    <x v="2"/>
    <x v="1"/>
    <x v="2"/>
    <x v="0"/>
    <x v="21"/>
    <x v="1"/>
    <x v="10"/>
    <x v="2"/>
  </r>
  <r>
    <s v="TX501854"/>
    <x v="14"/>
    <x v="9"/>
    <n v="24"/>
    <x v="160"/>
    <x v="67"/>
    <d v="2025-03-12T00:00:00"/>
    <x v="1"/>
    <x v="2"/>
    <x v="0"/>
    <x v="0"/>
    <x v="1"/>
    <x v="2"/>
    <x v="10"/>
    <x v="1"/>
  </r>
  <r>
    <s v="TX501855"/>
    <x v="8"/>
    <x v="1"/>
    <n v="30.6"/>
    <x v="1"/>
    <x v="68"/>
    <d v="2025-03-12T00:00:00"/>
    <x v="2"/>
    <x v="0"/>
    <x v="0"/>
    <x v="0"/>
    <x v="1"/>
    <x v="1"/>
    <x v="10"/>
    <x v="2"/>
  </r>
  <r>
    <s v="TX501856"/>
    <x v="10"/>
    <x v="9"/>
    <n v="33"/>
    <x v="1445"/>
    <x v="68"/>
    <d v="2025-03-11T00:00:00"/>
    <x v="1"/>
    <x v="1"/>
    <x v="1"/>
    <x v="0"/>
    <x v="27"/>
    <x v="3"/>
    <x v="10"/>
    <x v="1"/>
  </r>
  <r>
    <s v="TX501857"/>
    <x v="17"/>
    <x v="11"/>
    <n v="42.1"/>
    <x v="1258"/>
    <x v="68"/>
    <d v="2025-03-16T00:00:00"/>
    <x v="2"/>
    <x v="2"/>
    <x v="0"/>
    <x v="0"/>
    <x v="44"/>
    <x v="4"/>
    <x v="10"/>
    <x v="2"/>
  </r>
  <r>
    <s v="TX501858"/>
    <x v="6"/>
    <x v="3"/>
    <n v="77.7"/>
    <x v="1446"/>
    <x v="68"/>
    <d v="2025-03-15T00:00:00"/>
    <x v="2"/>
    <x v="1"/>
    <x v="2"/>
    <x v="0"/>
    <x v="50"/>
    <x v="0"/>
    <x v="10"/>
    <x v="2"/>
  </r>
  <r>
    <s v="TX501859"/>
    <x v="17"/>
    <x v="13"/>
    <n v="22.7"/>
    <x v="1134"/>
    <x v="68"/>
    <d v="2025-03-13T00:00:00"/>
    <x v="2"/>
    <x v="2"/>
    <x v="0"/>
    <x v="0"/>
    <x v="3"/>
    <x v="2"/>
    <x v="10"/>
    <x v="2"/>
  </r>
  <r>
    <s v="TX501860"/>
    <x v="2"/>
    <x v="1"/>
    <n v="133"/>
    <x v="751"/>
    <x v="68"/>
    <d v="2025-03-10T00:00:00"/>
    <x v="1"/>
    <x v="2"/>
    <x v="2"/>
    <x v="0"/>
    <x v="3"/>
    <x v="7"/>
    <x v="10"/>
    <x v="1"/>
  </r>
  <r>
    <s v="TX501861"/>
    <x v="0"/>
    <x v="1"/>
    <n v="23.3"/>
    <x v="1447"/>
    <x v="68"/>
    <d v="2025-03-11T00:00:00"/>
    <x v="1"/>
    <x v="1"/>
    <x v="2"/>
    <x v="0"/>
    <x v="3"/>
    <x v="3"/>
    <x v="10"/>
    <x v="1"/>
  </r>
  <r>
    <s v="TX501862"/>
    <x v="8"/>
    <x v="2"/>
    <n v="20.7"/>
    <x v="1448"/>
    <x v="68"/>
    <d v="2025-03-12T00:00:00"/>
    <x v="3"/>
    <x v="0"/>
    <x v="2"/>
    <x v="0"/>
    <x v="3"/>
    <x v="1"/>
    <x v="10"/>
    <x v="3"/>
  </r>
  <r>
    <s v="TX501863"/>
    <x v="12"/>
    <x v="1"/>
    <n v="47"/>
    <x v="255"/>
    <x v="68"/>
    <d v="2025-03-11T00:00:00"/>
    <x v="1"/>
    <x v="1"/>
    <x v="2"/>
    <x v="0"/>
    <x v="3"/>
    <x v="3"/>
    <x v="10"/>
    <x v="1"/>
  </r>
  <r>
    <s v="TX501864"/>
    <x v="12"/>
    <x v="2"/>
    <n v="38.200000000000003"/>
    <x v="1449"/>
    <x v="68"/>
    <d v="2025-03-12T00:00:00"/>
    <x v="2"/>
    <x v="2"/>
    <x v="4"/>
    <x v="0"/>
    <x v="3"/>
    <x v="1"/>
    <x v="10"/>
    <x v="2"/>
  </r>
  <r>
    <s v="TX501865"/>
    <x v="9"/>
    <x v="0"/>
    <n v="39.1"/>
    <x v="923"/>
    <x v="68"/>
    <d v="2025-03-12T00:00:00"/>
    <x v="2"/>
    <x v="0"/>
    <x v="0"/>
    <x v="0"/>
    <x v="3"/>
    <x v="1"/>
    <x v="10"/>
    <x v="2"/>
  </r>
  <r>
    <s v="TX501866"/>
    <x v="7"/>
    <x v="30"/>
    <n v="55.6"/>
    <x v="1450"/>
    <x v="68"/>
    <d v="2025-03-12T00:00:00"/>
    <x v="1"/>
    <x v="0"/>
    <x v="2"/>
    <x v="0"/>
    <x v="3"/>
    <x v="1"/>
    <x v="10"/>
    <x v="1"/>
  </r>
  <r>
    <s v="TX501867"/>
    <x v="15"/>
    <x v="0"/>
    <n v="43.1"/>
    <x v="39"/>
    <x v="68"/>
    <d v="2025-03-10T00:00:00"/>
    <x v="3"/>
    <x v="1"/>
    <x v="2"/>
    <x v="0"/>
    <x v="3"/>
    <x v="7"/>
    <x v="10"/>
    <x v="3"/>
  </r>
  <r>
    <s v="TX501868"/>
    <x v="6"/>
    <x v="12"/>
    <n v="48.1"/>
    <x v="1451"/>
    <x v="68"/>
    <d v="2025-03-11T00:00:00"/>
    <x v="2"/>
    <x v="4"/>
    <x v="2"/>
    <x v="0"/>
    <x v="3"/>
    <x v="3"/>
    <x v="10"/>
    <x v="2"/>
  </r>
  <r>
    <s v="TX501869"/>
    <x v="4"/>
    <x v="0"/>
    <n v="42"/>
    <x v="337"/>
    <x v="68"/>
    <d v="2025-03-11T00:00:00"/>
    <x v="3"/>
    <x v="0"/>
    <x v="0"/>
    <x v="0"/>
    <x v="3"/>
    <x v="3"/>
    <x v="10"/>
    <x v="3"/>
  </r>
  <r>
    <s v="TX501870"/>
    <x v="8"/>
    <x v="9"/>
    <n v="18.3"/>
    <x v="1058"/>
    <x v="68"/>
    <d v="2025-03-10T00:00:00"/>
    <x v="2"/>
    <x v="2"/>
    <x v="0"/>
    <x v="0"/>
    <x v="3"/>
    <x v="7"/>
    <x v="10"/>
    <x v="2"/>
  </r>
  <r>
    <s v="TX501871"/>
    <x v="10"/>
    <x v="12"/>
    <n v="45.3"/>
    <x v="1452"/>
    <x v="68"/>
    <d v="2025-03-13T00:00:00"/>
    <x v="2"/>
    <x v="0"/>
    <x v="2"/>
    <x v="0"/>
    <x v="3"/>
    <x v="2"/>
    <x v="10"/>
    <x v="2"/>
  </r>
  <r>
    <s v="TX501872"/>
    <x v="0"/>
    <x v="1"/>
    <n v="27.6"/>
    <x v="291"/>
    <x v="68"/>
    <d v="2025-03-12T00:00:00"/>
    <x v="1"/>
    <x v="0"/>
    <x v="2"/>
    <x v="0"/>
    <x v="37"/>
    <x v="1"/>
    <x v="10"/>
    <x v="1"/>
  </r>
  <r>
    <s v="TX501873"/>
    <x v="4"/>
    <x v="9"/>
    <n v="26.9"/>
    <x v="531"/>
    <x v="68"/>
    <d v="2025-03-11T00:00:00"/>
    <x v="2"/>
    <x v="2"/>
    <x v="0"/>
    <x v="0"/>
    <x v="25"/>
    <x v="3"/>
    <x v="10"/>
    <x v="2"/>
  </r>
  <r>
    <s v="TX501874"/>
    <x v="2"/>
    <x v="11"/>
    <n v="82.4"/>
    <x v="1453"/>
    <x v="68"/>
    <d v="2025-03-12T00:00:00"/>
    <x v="3"/>
    <x v="2"/>
    <x v="0"/>
    <x v="0"/>
    <x v="5"/>
    <x v="1"/>
    <x v="10"/>
    <x v="3"/>
  </r>
  <r>
    <s v="TX501875"/>
    <x v="6"/>
    <x v="0"/>
    <n v="103.7"/>
    <x v="1454"/>
    <x v="68"/>
    <d v="2025-03-12T00:00:00"/>
    <x v="2"/>
    <x v="1"/>
    <x v="0"/>
    <x v="0"/>
    <x v="5"/>
    <x v="1"/>
    <x v="10"/>
    <x v="2"/>
  </r>
  <r>
    <s v="TX501876"/>
    <x v="2"/>
    <x v="1"/>
    <n v="58.8"/>
    <x v="833"/>
    <x v="68"/>
    <d v="2025-03-15T00:00:00"/>
    <x v="2"/>
    <x v="1"/>
    <x v="2"/>
    <x v="0"/>
    <x v="6"/>
    <x v="0"/>
    <x v="10"/>
    <x v="2"/>
  </r>
  <r>
    <s v="TX501877"/>
    <x v="13"/>
    <x v="0"/>
    <n v="31.5"/>
    <x v="1455"/>
    <x v="68"/>
    <d v="2025-03-11T00:00:00"/>
    <x v="2"/>
    <x v="1"/>
    <x v="1"/>
    <x v="0"/>
    <x v="6"/>
    <x v="3"/>
    <x v="10"/>
    <x v="2"/>
  </r>
  <r>
    <s v="TX501878"/>
    <x v="7"/>
    <x v="9"/>
    <n v="36.799999999999997"/>
    <x v="79"/>
    <x v="68"/>
    <d v="2025-03-12T00:00:00"/>
    <x v="2"/>
    <x v="0"/>
    <x v="0"/>
    <x v="0"/>
    <x v="8"/>
    <x v="1"/>
    <x v="10"/>
    <x v="2"/>
  </r>
  <r>
    <s v="TX501879"/>
    <x v="3"/>
    <x v="0"/>
    <n v="84.4"/>
    <x v="533"/>
    <x v="68"/>
    <d v="2025-03-11T00:00:00"/>
    <x v="2"/>
    <x v="0"/>
    <x v="0"/>
    <x v="0"/>
    <x v="8"/>
    <x v="3"/>
    <x v="10"/>
    <x v="2"/>
  </r>
  <r>
    <s v="TX501880"/>
    <x v="14"/>
    <x v="0"/>
    <n v="44.7"/>
    <x v="1456"/>
    <x v="68"/>
    <d v="2025-03-11T00:00:00"/>
    <x v="1"/>
    <x v="0"/>
    <x v="1"/>
    <x v="0"/>
    <x v="8"/>
    <x v="3"/>
    <x v="10"/>
    <x v="1"/>
  </r>
  <r>
    <s v="TX501881"/>
    <x v="9"/>
    <x v="8"/>
    <n v="39.4"/>
    <x v="895"/>
    <x v="68"/>
    <d v="2025-03-11T00:00:00"/>
    <x v="2"/>
    <x v="1"/>
    <x v="2"/>
    <x v="0"/>
    <x v="8"/>
    <x v="3"/>
    <x v="10"/>
    <x v="2"/>
  </r>
  <r>
    <s v="TX501882"/>
    <x v="11"/>
    <x v="12"/>
    <n v="34.9"/>
    <x v="1457"/>
    <x v="68"/>
    <d v="2025-03-12T00:00:00"/>
    <x v="2"/>
    <x v="0"/>
    <x v="2"/>
    <x v="0"/>
    <x v="8"/>
    <x v="1"/>
    <x v="10"/>
    <x v="2"/>
  </r>
  <r>
    <s v="TX501883"/>
    <x v="1"/>
    <x v="2"/>
    <n v="62.3"/>
    <x v="1458"/>
    <x v="68"/>
    <d v="2025-03-12T00:00:00"/>
    <x v="1"/>
    <x v="4"/>
    <x v="2"/>
    <x v="0"/>
    <x v="8"/>
    <x v="1"/>
    <x v="10"/>
    <x v="1"/>
  </r>
  <r>
    <s v="TX501884"/>
    <x v="8"/>
    <x v="12"/>
    <n v="21.1"/>
    <x v="533"/>
    <x v="68"/>
    <d v="2025-03-13T00:00:00"/>
    <x v="1"/>
    <x v="3"/>
    <x v="0"/>
    <x v="0"/>
    <x v="8"/>
    <x v="2"/>
    <x v="10"/>
    <x v="1"/>
  </r>
  <r>
    <s v="TX501885"/>
    <x v="8"/>
    <x v="2"/>
    <n v="33.200000000000003"/>
    <x v="1459"/>
    <x v="68"/>
    <d v="2025-03-24T00:00:00"/>
    <x v="0"/>
    <x v="0"/>
    <x v="4"/>
    <x v="0"/>
    <x v="8"/>
    <x v="12"/>
    <x v="10"/>
    <x v="0"/>
  </r>
  <r>
    <s v="TX501886"/>
    <x v="1"/>
    <x v="12"/>
    <n v="74.5"/>
    <x v="1460"/>
    <x v="68"/>
    <d v="2025-03-11T00:00:00"/>
    <x v="1"/>
    <x v="4"/>
    <x v="0"/>
    <x v="0"/>
    <x v="8"/>
    <x v="3"/>
    <x v="10"/>
    <x v="1"/>
  </r>
  <r>
    <s v="TX501887"/>
    <x v="10"/>
    <x v="4"/>
    <n v="68.599999999999994"/>
    <x v="1461"/>
    <x v="68"/>
    <d v="2025-03-13T00:00:00"/>
    <x v="2"/>
    <x v="0"/>
    <x v="2"/>
    <x v="0"/>
    <x v="8"/>
    <x v="2"/>
    <x v="10"/>
    <x v="2"/>
  </r>
  <r>
    <s v="TX501888"/>
    <x v="5"/>
    <x v="21"/>
    <n v="36.4"/>
    <x v="1462"/>
    <x v="68"/>
    <d v="2025-03-12T00:00:00"/>
    <x v="2"/>
    <x v="0"/>
    <x v="1"/>
    <x v="0"/>
    <x v="9"/>
    <x v="1"/>
    <x v="10"/>
    <x v="2"/>
  </r>
  <r>
    <s v="TX501889"/>
    <x v="16"/>
    <x v="9"/>
    <n v="67.599999999999994"/>
    <x v="1463"/>
    <x v="69"/>
    <d v="2025-03-14T00:00:00"/>
    <x v="2"/>
    <x v="4"/>
    <x v="1"/>
    <x v="0"/>
    <x v="9"/>
    <x v="2"/>
    <x v="10"/>
    <x v="2"/>
  </r>
  <r>
    <s v="TX501890"/>
    <x v="15"/>
    <x v="0"/>
    <n v="46.3"/>
    <x v="516"/>
    <x v="69"/>
    <d v="2025-03-12T00:00:00"/>
    <x v="1"/>
    <x v="2"/>
    <x v="0"/>
    <x v="0"/>
    <x v="9"/>
    <x v="3"/>
    <x v="10"/>
    <x v="1"/>
  </r>
  <r>
    <s v="TX501891"/>
    <x v="1"/>
    <x v="2"/>
    <n v="124.2"/>
    <x v="1464"/>
    <x v="69"/>
    <d v="2025-03-13T00:00:00"/>
    <x v="2"/>
    <x v="1"/>
    <x v="2"/>
    <x v="0"/>
    <x v="11"/>
    <x v="1"/>
    <x v="10"/>
    <x v="2"/>
  </r>
  <r>
    <s v="TX501892"/>
    <x v="10"/>
    <x v="1"/>
    <n v="37"/>
    <x v="372"/>
    <x v="69"/>
    <d v="2025-03-17T00:00:00"/>
    <x v="1"/>
    <x v="0"/>
    <x v="0"/>
    <x v="0"/>
    <x v="11"/>
    <x v="4"/>
    <x v="10"/>
    <x v="1"/>
  </r>
  <r>
    <s v="TX501893"/>
    <x v="5"/>
    <x v="0"/>
    <n v="41.8"/>
    <x v="1465"/>
    <x v="69"/>
    <d v="2025-03-12T00:00:00"/>
    <x v="1"/>
    <x v="2"/>
    <x v="0"/>
    <x v="0"/>
    <x v="31"/>
    <x v="3"/>
    <x v="10"/>
    <x v="1"/>
  </r>
  <r>
    <s v="TX501894"/>
    <x v="9"/>
    <x v="1"/>
    <n v="57.2"/>
    <x v="1466"/>
    <x v="69"/>
    <d v="2025-03-13T00:00:00"/>
    <x v="1"/>
    <x v="2"/>
    <x v="1"/>
    <x v="0"/>
    <x v="20"/>
    <x v="1"/>
    <x v="10"/>
    <x v="1"/>
  </r>
  <r>
    <s v="TX501895"/>
    <x v="6"/>
    <x v="1"/>
    <n v="47.1"/>
    <x v="1467"/>
    <x v="69"/>
    <d v="2025-03-13T00:00:00"/>
    <x v="2"/>
    <x v="0"/>
    <x v="4"/>
    <x v="0"/>
    <x v="20"/>
    <x v="1"/>
    <x v="10"/>
    <x v="2"/>
  </r>
  <r>
    <s v="TX501896"/>
    <x v="5"/>
    <x v="2"/>
    <n v="86.4"/>
    <x v="1468"/>
    <x v="69"/>
    <d v="2025-03-12T00:00:00"/>
    <x v="1"/>
    <x v="2"/>
    <x v="1"/>
    <x v="0"/>
    <x v="52"/>
    <x v="3"/>
    <x v="10"/>
    <x v="1"/>
  </r>
  <r>
    <s v="TX501897"/>
    <x v="6"/>
    <x v="9"/>
    <n v="105"/>
    <x v="1469"/>
    <x v="69"/>
    <d v="2025-03-14T00:00:00"/>
    <x v="1"/>
    <x v="0"/>
    <x v="0"/>
    <x v="0"/>
    <x v="13"/>
    <x v="2"/>
    <x v="10"/>
    <x v="1"/>
  </r>
  <r>
    <s v="TX501898"/>
    <x v="18"/>
    <x v="0"/>
    <n v="33"/>
    <x v="940"/>
    <x v="69"/>
    <d v="2025-03-14T00:00:00"/>
    <x v="1"/>
    <x v="4"/>
    <x v="0"/>
    <x v="0"/>
    <x v="21"/>
    <x v="2"/>
    <x v="10"/>
    <x v="1"/>
  </r>
  <r>
    <s v="TX501899"/>
    <x v="6"/>
    <x v="9"/>
    <n v="106.6"/>
    <x v="1470"/>
    <x v="69"/>
    <d v="2025-03-24T00:00:00"/>
    <x v="2"/>
    <x v="2"/>
    <x v="0"/>
    <x v="0"/>
    <x v="1"/>
    <x v="10"/>
    <x v="10"/>
    <x v="2"/>
  </r>
  <r>
    <s v="TX501900"/>
    <x v="10"/>
    <x v="46"/>
    <n v="26.8"/>
    <x v="1471"/>
    <x v="69"/>
    <d v="2025-03-12T00:00:00"/>
    <x v="2"/>
    <x v="2"/>
    <x v="0"/>
    <x v="0"/>
    <x v="1"/>
    <x v="3"/>
    <x v="10"/>
    <x v="2"/>
  </r>
  <r>
    <s v="TX501901"/>
    <x v="17"/>
    <x v="9"/>
    <n v="25.8"/>
    <x v="309"/>
    <x v="69"/>
    <d v="2025-03-11T00:00:00"/>
    <x v="2"/>
    <x v="1"/>
    <x v="2"/>
    <x v="0"/>
    <x v="3"/>
    <x v="7"/>
    <x v="10"/>
    <x v="2"/>
  </r>
  <r>
    <s v="TX501902"/>
    <x v="2"/>
    <x v="2"/>
    <n v="217"/>
    <x v="1472"/>
    <x v="69"/>
    <d v="2025-03-12T00:00:00"/>
    <x v="2"/>
    <x v="1"/>
    <x v="1"/>
    <x v="0"/>
    <x v="3"/>
    <x v="3"/>
    <x v="10"/>
    <x v="2"/>
  </r>
  <r>
    <s v="TX501903"/>
    <x v="2"/>
    <x v="1"/>
    <n v="97.3"/>
    <x v="1473"/>
    <x v="69"/>
    <d v="2025-03-12T00:00:00"/>
    <x v="1"/>
    <x v="2"/>
    <x v="4"/>
    <x v="0"/>
    <x v="3"/>
    <x v="3"/>
    <x v="10"/>
    <x v="1"/>
  </r>
  <r>
    <s v="TX501904"/>
    <x v="1"/>
    <x v="0"/>
    <n v="49.8"/>
    <x v="1474"/>
    <x v="69"/>
    <d v="2025-03-12T00:00:00"/>
    <x v="2"/>
    <x v="0"/>
    <x v="0"/>
    <x v="0"/>
    <x v="3"/>
    <x v="3"/>
    <x v="10"/>
    <x v="2"/>
  </r>
  <r>
    <s v="TX501905"/>
    <x v="12"/>
    <x v="9"/>
    <n v="32.6"/>
    <x v="1475"/>
    <x v="69"/>
    <d v="2025-03-12T00:00:00"/>
    <x v="2"/>
    <x v="0"/>
    <x v="0"/>
    <x v="0"/>
    <x v="3"/>
    <x v="3"/>
    <x v="10"/>
    <x v="2"/>
  </r>
  <r>
    <s v="TX501906"/>
    <x v="9"/>
    <x v="1"/>
    <n v="40.1"/>
    <x v="556"/>
    <x v="69"/>
    <d v="2025-03-14T00:00:00"/>
    <x v="1"/>
    <x v="1"/>
    <x v="2"/>
    <x v="0"/>
    <x v="3"/>
    <x v="2"/>
    <x v="10"/>
    <x v="1"/>
  </r>
  <r>
    <s v="TX501907"/>
    <x v="10"/>
    <x v="1"/>
    <n v="49.4"/>
    <x v="197"/>
    <x v="69"/>
    <d v="2025-03-13T00:00:00"/>
    <x v="1"/>
    <x v="1"/>
    <x v="0"/>
    <x v="0"/>
    <x v="3"/>
    <x v="1"/>
    <x v="10"/>
    <x v="1"/>
  </r>
  <r>
    <s v="TX501908"/>
    <x v="2"/>
    <x v="0"/>
    <n v="67.3"/>
    <x v="1476"/>
    <x v="69"/>
    <d v="2025-03-12T00:00:00"/>
    <x v="2"/>
    <x v="0"/>
    <x v="2"/>
    <x v="0"/>
    <x v="3"/>
    <x v="3"/>
    <x v="10"/>
    <x v="2"/>
  </r>
  <r>
    <s v="TX501909"/>
    <x v="18"/>
    <x v="12"/>
    <n v="44.5"/>
    <x v="394"/>
    <x v="69"/>
    <d v="2025-03-14T00:00:00"/>
    <x v="0"/>
    <x v="1"/>
    <x v="0"/>
    <x v="0"/>
    <x v="3"/>
    <x v="2"/>
    <x v="10"/>
    <x v="0"/>
  </r>
  <r>
    <s v="TX501910"/>
    <x v="6"/>
    <x v="5"/>
    <n v="111.1"/>
    <x v="1477"/>
    <x v="69"/>
    <d v="2025-03-12T00:00:00"/>
    <x v="2"/>
    <x v="4"/>
    <x v="0"/>
    <x v="0"/>
    <x v="3"/>
    <x v="3"/>
    <x v="10"/>
    <x v="2"/>
  </r>
  <r>
    <s v="TX501911"/>
    <x v="8"/>
    <x v="2"/>
    <n v="19.7"/>
    <x v="1478"/>
    <x v="69"/>
    <d v="2025-03-12T00:00:00"/>
    <x v="2"/>
    <x v="4"/>
    <x v="4"/>
    <x v="0"/>
    <x v="3"/>
    <x v="3"/>
    <x v="10"/>
    <x v="2"/>
  </r>
  <r>
    <s v="TX501912"/>
    <x v="1"/>
    <x v="0"/>
    <n v="40.299999999999997"/>
    <x v="518"/>
    <x v="69"/>
    <d v="2025-03-12T00:00:00"/>
    <x v="3"/>
    <x v="1"/>
    <x v="0"/>
    <x v="0"/>
    <x v="3"/>
    <x v="3"/>
    <x v="10"/>
    <x v="3"/>
  </r>
  <r>
    <s v="TX501913"/>
    <x v="6"/>
    <x v="1"/>
    <n v="108.8"/>
    <x v="1479"/>
    <x v="69"/>
    <d v="2025-03-16T00:00:00"/>
    <x v="1"/>
    <x v="0"/>
    <x v="2"/>
    <x v="0"/>
    <x v="6"/>
    <x v="0"/>
    <x v="10"/>
    <x v="1"/>
  </r>
  <r>
    <s v="TX501914"/>
    <x v="8"/>
    <x v="2"/>
    <n v="48.2"/>
    <x v="1435"/>
    <x v="69"/>
    <d v="2025-03-16T00:00:00"/>
    <x v="2"/>
    <x v="4"/>
    <x v="0"/>
    <x v="0"/>
    <x v="7"/>
    <x v="0"/>
    <x v="10"/>
    <x v="2"/>
  </r>
  <r>
    <s v="TX501915"/>
    <x v="2"/>
    <x v="2"/>
    <n v="104.7"/>
    <x v="1480"/>
    <x v="69"/>
    <d v="2025-03-13T00:00:00"/>
    <x v="2"/>
    <x v="0"/>
    <x v="1"/>
    <x v="0"/>
    <x v="7"/>
    <x v="1"/>
    <x v="10"/>
    <x v="2"/>
  </r>
  <r>
    <s v="TX501916"/>
    <x v="1"/>
    <x v="1"/>
    <n v="80.599999999999994"/>
    <x v="154"/>
    <x v="69"/>
    <d v="2025-03-11T00:00:00"/>
    <x v="2"/>
    <x v="1"/>
    <x v="0"/>
    <x v="0"/>
    <x v="8"/>
    <x v="7"/>
    <x v="10"/>
    <x v="2"/>
  </r>
  <r>
    <s v="TX501917"/>
    <x v="6"/>
    <x v="0"/>
    <n v="65.5"/>
    <x v="1481"/>
    <x v="69"/>
    <d v="2025-03-13T00:00:00"/>
    <x v="3"/>
    <x v="1"/>
    <x v="0"/>
    <x v="0"/>
    <x v="8"/>
    <x v="1"/>
    <x v="10"/>
    <x v="3"/>
  </r>
  <r>
    <s v="TX501918"/>
    <x v="9"/>
    <x v="2"/>
    <n v="61.4"/>
    <x v="1173"/>
    <x v="69"/>
    <d v="2025-03-13T00:00:00"/>
    <x v="2"/>
    <x v="4"/>
    <x v="2"/>
    <x v="0"/>
    <x v="8"/>
    <x v="1"/>
    <x v="10"/>
    <x v="2"/>
  </r>
  <r>
    <s v="TX501919"/>
    <x v="0"/>
    <x v="0"/>
    <n v="12.5"/>
    <x v="1482"/>
    <x v="70"/>
    <d v="2025-03-15T00:00:00"/>
    <x v="2"/>
    <x v="0"/>
    <x v="1"/>
    <x v="0"/>
    <x v="8"/>
    <x v="2"/>
    <x v="10"/>
    <x v="2"/>
  </r>
  <r>
    <s v="TX501920"/>
    <x v="4"/>
    <x v="12"/>
    <n v="35.1"/>
    <x v="381"/>
    <x v="70"/>
    <d v="2025-03-13T00:00:00"/>
    <x v="1"/>
    <x v="2"/>
    <x v="1"/>
    <x v="0"/>
    <x v="17"/>
    <x v="3"/>
    <x v="10"/>
    <x v="1"/>
  </r>
  <r>
    <s v="TX501921"/>
    <x v="5"/>
    <x v="1"/>
    <n v="55.7"/>
    <x v="1483"/>
    <x v="70"/>
    <d v="2025-03-13T00:00:00"/>
    <x v="1"/>
    <x v="0"/>
    <x v="1"/>
    <x v="0"/>
    <x v="26"/>
    <x v="3"/>
    <x v="10"/>
    <x v="1"/>
  </r>
  <r>
    <s v="TX501922"/>
    <x v="7"/>
    <x v="1"/>
    <n v="57.7"/>
    <x v="1484"/>
    <x v="70"/>
    <d v="2025-03-14T00:00:00"/>
    <x v="1"/>
    <x v="4"/>
    <x v="1"/>
    <x v="0"/>
    <x v="9"/>
    <x v="1"/>
    <x v="10"/>
    <x v="1"/>
  </r>
  <r>
    <s v="TX501923"/>
    <x v="2"/>
    <x v="13"/>
    <n v="85.7"/>
    <x v="1485"/>
    <x v="70"/>
    <d v="2025-03-13T00:00:00"/>
    <x v="1"/>
    <x v="3"/>
    <x v="2"/>
    <x v="0"/>
    <x v="9"/>
    <x v="3"/>
    <x v="10"/>
    <x v="1"/>
  </r>
  <r>
    <s v="TX501924"/>
    <x v="2"/>
    <x v="2"/>
    <n v="86.9"/>
    <x v="1486"/>
    <x v="70"/>
    <d v="2025-03-14T00:00:00"/>
    <x v="2"/>
    <x v="1"/>
    <x v="0"/>
    <x v="0"/>
    <x v="11"/>
    <x v="1"/>
    <x v="10"/>
    <x v="2"/>
  </r>
  <r>
    <s v="TX501925"/>
    <x v="18"/>
    <x v="1"/>
    <n v="46.4"/>
    <x v="1487"/>
    <x v="70"/>
    <d v="2025-03-15T00:00:00"/>
    <x v="2"/>
    <x v="4"/>
    <x v="0"/>
    <x v="0"/>
    <x v="11"/>
    <x v="2"/>
    <x v="10"/>
    <x v="2"/>
  </r>
  <r>
    <s v="TX501926"/>
    <x v="5"/>
    <x v="2"/>
    <n v="25.4"/>
    <x v="1488"/>
    <x v="70"/>
    <d v="2025-03-12T00:00:00"/>
    <x v="2"/>
    <x v="2"/>
    <x v="2"/>
    <x v="0"/>
    <x v="18"/>
    <x v="7"/>
    <x v="10"/>
    <x v="2"/>
  </r>
  <r>
    <s v="TX501927"/>
    <x v="10"/>
    <x v="2"/>
    <n v="47.8"/>
    <x v="1489"/>
    <x v="70"/>
    <d v="2025-03-12T00:00:00"/>
    <x v="0"/>
    <x v="2"/>
    <x v="2"/>
    <x v="0"/>
    <x v="19"/>
    <x v="7"/>
    <x v="10"/>
    <x v="0"/>
  </r>
  <r>
    <s v="TX501928"/>
    <x v="8"/>
    <x v="10"/>
    <n v="18.399999999999999"/>
    <x v="1490"/>
    <x v="70"/>
    <d v="2025-03-14T00:00:00"/>
    <x v="3"/>
    <x v="2"/>
    <x v="0"/>
    <x v="0"/>
    <x v="20"/>
    <x v="1"/>
    <x v="10"/>
    <x v="3"/>
  </r>
  <r>
    <s v="TX501929"/>
    <x v="12"/>
    <x v="2"/>
    <n v="65.5"/>
    <x v="756"/>
    <x v="70"/>
    <d v="2025-03-20T00:00:00"/>
    <x v="2"/>
    <x v="0"/>
    <x v="0"/>
    <x v="0"/>
    <x v="21"/>
    <x v="9"/>
    <x v="10"/>
    <x v="2"/>
  </r>
  <r>
    <s v="TX501930"/>
    <x v="10"/>
    <x v="1"/>
    <n v="50.6"/>
    <x v="855"/>
    <x v="70"/>
    <d v="2025-03-15T00:00:00"/>
    <x v="1"/>
    <x v="2"/>
    <x v="4"/>
    <x v="0"/>
    <x v="21"/>
    <x v="2"/>
    <x v="10"/>
    <x v="1"/>
  </r>
  <r>
    <s v="TX501931"/>
    <x v="3"/>
    <x v="9"/>
    <n v="69"/>
    <x v="1491"/>
    <x v="70"/>
    <d v="2025-03-16T00:00:00"/>
    <x v="1"/>
    <x v="3"/>
    <x v="0"/>
    <x v="0"/>
    <x v="21"/>
    <x v="5"/>
    <x v="10"/>
    <x v="1"/>
  </r>
  <r>
    <s v="TX501932"/>
    <x v="9"/>
    <x v="8"/>
    <n v="51.1"/>
    <x v="18"/>
    <x v="70"/>
    <d v="2025-03-14T00:00:00"/>
    <x v="2"/>
    <x v="0"/>
    <x v="0"/>
    <x v="0"/>
    <x v="1"/>
    <x v="1"/>
    <x v="10"/>
    <x v="2"/>
  </r>
  <r>
    <s v="TX501933"/>
    <x v="9"/>
    <x v="0"/>
    <n v="36.1"/>
    <x v="168"/>
    <x v="70"/>
    <d v="2025-03-13T00:00:00"/>
    <x v="2"/>
    <x v="0"/>
    <x v="2"/>
    <x v="0"/>
    <x v="34"/>
    <x v="3"/>
    <x v="10"/>
    <x v="2"/>
  </r>
  <r>
    <s v="TX501934"/>
    <x v="14"/>
    <x v="0"/>
    <n v="18.7"/>
    <x v="1492"/>
    <x v="70"/>
    <d v="2025-03-13T00:00:00"/>
    <x v="1"/>
    <x v="0"/>
    <x v="0"/>
    <x v="0"/>
    <x v="3"/>
    <x v="3"/>
    <x v="10"/>
    <x v="1"/>
  </r>
  <r>
    <s v="TX501935"/>
    <x v="17"/>
    <x v="0"/>
    <n v="30.1"/>
    <x v="1493"/>
    <x v="70"/>
    <d v="2025-03-15T00:00:00"/>
    <x v="2"/>
    <x v="3"/>
    <x v="1"/>
    <x v="0"/>
    <x v="3"/>
    <x v="2"/>
    <x v="10"/>
    <x v="2"/>
  </r>
  <r>
    <s v="TX501936"/>
    <x v="8"/>
    <x v="0"/>
    <n v="16.3"/>
    <x v="1494"/>
    <x v="70"/>
    <d v="2025-03-13T00:00:00"/>
    <x v="1"/>
    <x v="3"/>
    <x v="0"/>
    <x v="0"/>
    <x v="3"/>
    <x v="3"/>
    <x v="10"/>
    <x v="1"/>
  </r>
  <r>
    <s v="TX501937"/>
    <x v="1"/>
    <x v="2"/>
    <n v="63.8"/>
    <x v="1348"/>
    <x v="70"/>
    <d v="2025-03-17T00:00:00"/>
    <x v="2"/>
    <x v="2"/>
    <x v="1"/>
    <x v="0"/>
    <x v="3"/>
    <x v="0"/>
    <x v="10"/>
    <x v="2"/>
  </r>
  <r>
    <s v="TX501938"/>
    <x v="1"/>
    <x v="3"/>
    <n v="73.900000000000006"/>
    <x v="1495"/>
    <x v="70"/>
    <d v="2025-03-12T00:00:00"/>
    <x v="2"/>
    <x v="0"/>
    <x v="1"/>
    <x v="0"/>
    <x v="3"/>
    <x v="7"/>
    <x v="10"/>
    <x v="2"/>
  </r>
  <r>
    <s v="TX501939"/>
    <x v="0"/>
    <x v="1"/>
    <n v="20.2"/>
    <x v="1400"/>
    <x v="70"/>
    <d v="2025-03-13T00:00:00"/>
    <x v="1"/>
    <x v="0"/>
    <x v="1"/>
    <x v="0"/>
    <x v="3"/>
    <x v="3"/>
    <x v="10"/>
    <x v="1"/>
  </r>
  <r>
    <s v="TX501940"/>
    <x v="11"/>
    <x v="5"/>
    <n v="29.5"/>
    <x v="1496"/>
    <x v="70"/>
    <d v="2025-03-13T00:00:00"/>
    <x v="1"/>
    <x v="0"/>
    <x v="0"/>
    <x v="0"/>
    <x v="3"/>
    <x v="3"/>
    <x v="10"/>
    <x v="1"/>
  </r>
  <r>
    <s v="TX501941"/>
    <x v="15"/>
    <x v="3"/>
    <n v="37.9"/>
    <x v="1497"/>
    <x v="70"/>
    <d v="2025-03-13T00:00:00"/>
    <x v="1"/>
    <x v="1"/>
    <x v="0"/>
    <x v="0"/>
    <x v="3"/>
    <x v="3"/>
    <x v="10"/>
    <x v="1"/>
  </r>
  <r>
    <s v="TX501942"/>
    <x v="2"/>
    <x v="0"/>
    <n v="56.5"/>
    <x v="1498"/>
    <x v="70"/>
    <d v="2025-03-13T00:00:00"/>
    <x v="2"/>
    <x v="2"/>
    <x v="1"/>
    <x v="0"/>
    <x v="3"/>
    <x v="3"/>
    <x v="10"/>
    <x v="2"/>
  </r>
  <r>
    <s v="TX501943"/>
    <x v="2"/>
    <x v="1"/>
    <n v="66.900000000000006"/>
    <x v="981"/>
    <x v="70"/>
    <d v="2025-03-18T00:00:00"/>
    <x v="1"/>
    <x v="1"/>
    <x v="4"/>
    <x v="0"/>
    <x v="25"/>
    <x v="4"/>
    <x v="10"/>
    <x v="1"/>
  </r>
  <r>
    <s v="TX501944"/>
    <x v="2"/>
    <x v="9"/>
    <n v="51.9"/>
    <x v="1499"/>
    <x v="70"/>
    <d v="2025-03-15T00:00:00"/>
    <x v="1"/>
    <x v="1"/>
    <x v="0"/>
    <x v="0"/>
    <x v="7"/>
    <x v="2"/>
    <x v="10"/>
    <x v="1"/>
  </r>
  <r>
    <s v="TX501945"/>
    <x v="2"/>
    <x v="1"/>
    <n v="75.599999999999994"/>
    <x v="277"/>
    <x v="70"/>
    <d v="2025-03-15T00:00:00"/>
    <x v="1"/>
    <x v="1"/>
    <x v="0"/>
    <x v="0"/>
    <x v="8"/>
    <x v="2"/>
    <x v="10"/>
    <x v="1"/>
  </r>
  <r>
    <s v="TX501946"/>
    <x v="12"/>
    <x v="13"/>
    <n v="47.3"/>
    <x v="592"/>
    <x v="70"/>
    <d v="2025-03-23T00:00:00"/>
    <x v="1"/>
    <x v="0"/>
    <x v="0"/>
    <x v="0"/>
    <x v="8"/>
    <x v="11"/>
    <x v="10"/>
    <x v="1"/>
  </r>
  <r>
    <s v="TX501947"/>
    <x v="4"/>
    <x v="0"/>
    <n v="20.6"/>
    <x v="1500"/>
    <x v="70"/>
    <d v="2025-03-13T00:00:00"/>
    <x v="0"/>
    <x v="0"/>
    <x v="1"/>
    <x v="0"/>
    <x v="8"/>
    <x v="3"/>
    <x v="10"/>
    <x v="0"/>
  </r>
  <r>
    <s v="TX501948"/>
    <x v="6"/>
    <x v="2"/>
    <n v="49.7"/>
    <x v="1501"/>
    <x v="70"/>
    <d v="2025-03-14T00:00:00"/>
    <x v="1"/>
    <x v="0"/>
    <x v="1"/>
    <x v="0"/>
    <x v="8"/>
    <x v="1"/>
    <x v="10"/>
    <x v="1"/>
  </r>
  <r>
    <s v="TX501949"/>
    <x v="3"/>
    <x v="0"/>
    <n v="37.9"/>
    <x v="853"/>
    <x v="70"/>
    <d v="2025-03-14T00:00:00"/>
    <x v="2"/>
    <x v="0"/>
    <x v="0"/>
    <x v="0"/>
    <x v="8"/>
    <x v="1"/>
    <x v="10"/>
    <x v="2"/>
  </r>
  <r>
    <s v="TX501950"/>
    <x v="13"/>
    <x v="20"/>
    <n v="32"/>
    <x v="1502"/>
    <x v="70"/>
    <d v="2025-03-14T00:00:00"/>
    <x v="2"/>
    <x v="4"/>
    <x v="0"/>
    <x v="0"/>
    <x v="11"/>
    <x v="1"/>
    <x v="10"/>
    <x v="2"/>
  </r>
  <r>
    <s v="TX501951"/>
    <x v="10"/>
    <x v="16"/>
    <n v="38.5"/>
    <x v="1503"/>
    <x v="71"/>
    <d v="2025-03-14T00:00:00"/>
    <x v="1"/>
    <x v="0"/>
    <x v="2"/>
    <x v="0"/>
    <x v="11"/>
    <x v="3"/>
    <x v="10"/>
    <x v="1"/>
  </r>
  <r>
    <s v="TX501952"/>
    <x v="0"/>
    <x v="12"/>
    <n v="11.7"/>
    <x v="86"/>
    <x v="71"/>
    <d v="2025-03-15T00:00:00"/>
    <x v="2"/>
    <x v="1"/>
    <x v="0"/>
    <x v="0"/>
    <x v="20"/>
    <x v="1"/>
    <x v="10"/>
    <x v="2"/>
  </r>
  <r>
    <s v="TX501953"/>
    <x v="3"/>
    <x v="13"/>
    <n v="83.8"/>
    <x v="1504"/>
    <x v="71"/>
    <d v="2025-03-14T00:00:00"/>
    <x v="1"/>
    <x v="0"/>
    <x v="0"/>
    <x v="0"/>
    <x v="21"/>
    <x v="3"/>
    <x v="10"/>
    <x v="1"/>
  </r>
  <r>
    <s v="TX501954"/>
    <x v="0"/>
    <x v="3"/>
    <n v="14"/>
    <x v="11"/>
    <x v="71"/>
    <d v="2025-03-16T00:00:00"/>
    <x v="1"/>
    <x v="0"/>
    <x v="1"/>
    <x v="0"/>
    <x v="22"/>
    <x v="2"/>
    <x v="10"/>
    <x v="1"/>
  </r>
  <r>
    <s v="TX501955"/>
    <x v="16"/>
    <x v="12"/>
    <n v="77.3"/>
    <x v="1505"/>
    <x v="71"/>
    <d v="2025-03-15T00:00:00"/>
    <x v="2"/>
    <x v="4"/>
    <x v="2"/>
    <x v="0"/>
    <x v="3"/>
    <x v="1"/>
    <x v="10"/>
    <x v="2"/>
  </r>
  <r>
    <s v="TX501956"/>
    <x v="2"/>
    <x v="1"/>
    <n v="76.900000000000006"/>
    <x v="1506"/>
    <x v="71"/>
    <d v="2025-03-17T00:00:00"/>
    <x v="2"/>
    <x v="0"/>
    <x v="1"/>
    <x v="0"/>
    <x v="3"/>
    <x v="5"/>
    <x v="10"/>
    <x v="2"/>
  </r>
  <r>
    <s v="TX501957"/>
    <x v="1"/>
    <x v="0"/>
    <n v="48"/>
    <x v="510"/>
    <x v="71"/>
    <d v="2025-03-15T00:00:00"/>
    <x v="2"/>
    <x v="1"/>
    <x v="2"/>
    <x v="0"/>
    <x v="3"/>
    <x v="1"/>
    <x v="10"/>
    <x v="2"/>
  </r>
  <r>
    <s v="TX501958"/>
    <x v="2"/>
    <x v="0"/>
    <n v="94.5"/>
    <x v="234"/>
    <x v="71"/>
    <d v="2025-03-16T00:00:00"/>
    <x v="1"/>
    <x v="1"/>
    <x v="1"/>
    <x v="0"/>
    <x v="3"/>
    <x v="2"/>
    <x v="10"/>
    <x v="1"/>
  </r>
  <r>
    <s v="TX501959"/>
    <x v="10"/>
    <x v="2"/>
    <n v="58.4"/>
    <x v="122"/>
    <x v="71"/>
    <d v="2025-03-15T00:00:00"/>
    <x v="2"/>
    <x v="1"/>
    <x v="2"/>
    <x v="0"/>
    <x v="3"/>
    <x v="1"/>
    <x v="10"/>
    <x v="2"/>
  </r>
  <r>
    <s v="TX501960"/>
    <x v="7"/>
    <x v="15"/>
    <n v="42.2"/>
    <x v="1507"/>
    <x v="71"/>
    <d v="2025-03-13T00:00:00"/>
    <x v="1"/>
    <x v="0"/>
    <x v="0"/>
    <x v="0"/>
    <x v="25"/>
    <x v="7"/>
    <x v="10"/>
    <x v="1"/>
  </r>
  <r>
    <s v="TX501961"/>
    <x v="6"/>
    <x v="1"/>
    <n v="152.19999999999999"/>
    <x v="1508"/>
    <x v="71"/>
    <d v="2025-03-14T00:00:00"/>
    <x v="1"/>
    <x v="4"/>
    <x v="1"/>
    <x v="0"/>
    <x v="25"/>
    <x v="3"/>
    <x v="10"/>
    <x v="1"/>
  </r>
  <r>
    <s v="TX501962"/>
    <x v="6"/>
    <x v="25"/>
    <n v="72"/>
    <x v="1509"/>
    <x v="71"/>
    <d v="2025-03-14T00:00:00"/>
    <x v="1"/>
    <x v="0"/>
    <x v="1"/>
    <x v="0"/>
    <x v="6"/>
    <x v="3"/>
    <x v="10"/>
    <x v="1"/>
  </r>
  <r>
    <s v="TX501963"/>
    <x v="1"/>
    <x v="44"/>
    <n v="70.900000000000006"/>
    <x v="1510"/>
    <x v="71"/>
    <d v="2025-03-14T00:00:00"/>
    <x v="2"/>
    <x v="2"/>
    <x v="0"/>
    <x v="0"/>
    <x v="8"/>
    <x v="3"/>
    <x v="10"/>
    <x v="2"/>
  </r>
  <r>
    <s v="TX501964"/>
    <x v="2"/>
    <x v="1"/>
    <n v="53.7"/>
    <x v="1511"/>
    <x v="71"/>
    <d v="2025-03-14T00:00:00"/>
    <x v="1"/>
    <x v="2"/>
    <x v="2"/>
    <x v="0"/>
    <x v="8"/>
    <x v="3"/>
    <x v="10"/>
    <x v="1"/>
  </r>
  <r>
    <s v="TX501965"/>
    <x v="9"/>
    <x v="12"/>
    <n v="42.9"/>
    <x v="1512"/>
    <x v="71"/>
    <d v="2025-03-14T00:00:00"/>
    <x v="2"/>
    <x v="2"/>
    <x v="4"/>
    <x v="0"/>
    <x v="9"/>
    <x v="3"/>
    <x v="10"/>
    <x v="2"/>
  </r>
  <r>
    <s v="TX501966"/>
    <x v="2"/>
    <x v="3"/>
    <n v="107.5"/>
    <x v="1513"/>
    <x v="71"/>
    <d v="2025-03-14T00:00:00"/>
    <x v="1"/>
    <x v="1"/>
    <x v="0"/>
    <x v="0"/>
    <x v="11"/>
    <x v="3"/>
    <x v="10"/>
    <x v="1"/>
  </r>
  <r>
    <s v="TX501967"/>
    <x v="17"/>
    <x v="27"/>
    <n v="21.5"/>
    <x v="1213"/>
    <x v="71"/>
    <d v="2025-03-14T00:00:00"/>
    <x v="1"/>
    <x v="1"/>
    <x v="1"/>
    <x v="0"/>
    <x v="32"/>
    <x v="3"/>
    <x v="10"/>
    <x v="1"/>
  </r>
  <r>
    <s v="TX501968"/>
    <x v="3"/>
    <x v="9"/>
    <n v="85.3"/>
    <x v="1514"/>
    <x v="71"/>
    <d v="2025-03-15T00:00:00"/>
    <x v="2"/>
    <x v="3"/>
    <x v="0"/>
    <x v="0"/>
    <x v="18"/>
    <x v="1"/>
    <x v="10"/>
    <x v="2"/>
  </r>
  <r>
    <s v="TX501969"/>
    <x v="7"/>
    <x v="9"/>
    <n v="80.8"/>
    <x v="1515"/>
    <x v="71"/>
    <d v="2025-03-21T00:00:00"/>
    <x v="3"/>
    <x v="1"/>
    <x v="1"/>
    <x v="0"/>
    <x v="19"/>
    <x v="9"/>
    <x v="10"/>
    <x v="3"/>
  </r>
  <r>
    <s v="TX501970"/>
    <x v="2"/>
    <x v="2"/>
    <n v="123.1"/>
    <x v="1516"/>
    <x v="71"/>
    <d v="2025-03-15T00:00:00"/>
    <x v="0"/>
    <x v="2"/>
    <x v="0"/>
    <x v="0"/>
    <x v="21"/>
    <x v="1"/>
    <x v="10"/>
    <x v="0"/>
  </r>
  <r>
    <s v="TX501971"/>
    <x v="8"/>
    <x v="1"/>
    <n v="36.9"/>
    <x v="1517"/>
    <x v="71"/>
    <d v="2025-03-15T00:00:00"/>
    <x v="2"/>
    <x v="2"/>
    <x v="4"/>
    <x v="0"/>
    <x v="51"/>
    <x v="1"/>
    <x v="10"/>
    <x v="2"/>
  </r>
  <r>
    <s v="TX501972"/>
    <x v="11"/>
    <x v="9"/>
    <n v="40"/>
    <x v="308"/>
    <x v="71"/>
    <d v="2025-03-14T00:00:00"/>
    <x v="1"/>
    <x v="0"/>
    <x v="0"/>
    <x v="0"/>
    <x v="1"/>
    <x v="3"/>
    <x v="10"/>
    <x v="1"/>
  </r>
  <r>
    <s v="TX501973"/>
    <x v="6"/>
    <x v="2"/>
    <n v="55.5"/>
    <x v="1256"/>
    <x v="71"/>
    <d v="2025-03-14T00:00:00"/>
    <x v="1"/>
    <x v="4"/>
    <x v="2"/>
    <x v="0"/>
    <x v="1"/>
    <x v="3"/>
    <x v="10"/>
    <x v="1"/>
  </r>
  <r>
    <s v="TX501974"/>
    <x v="0"/>
    <x v="12"/>
    <n v="20.5"/>
    <x v="1518"/>
    <x v="71"/>
    <d v="2025-03-17T00:00:00"/>
    <x v="2"/>
    <x v="4"/>
    <x v="0"/>
    <x v="0"/>
    <x v="1"/>
    <x v="5"/>
    <x v="10"/>
    <x v="2"/>
  </r>
  <r>
    <s v="TX501975"/>
    <x v="18"/>
    <x v="12"/>
    <n v="50.1"/>
    <x v="1519"/>
    <x v="71"/>
    <d v="2025-03-14T00:00:00"/>
    <x v="2"/>
    <x v="4"/>
    <x v="0"/>
    <x v="0"/>
    <x v="1"/>
    <x v="3"/>
    <x v="10"/>
    <x v="2"/>
  </r>
  <r>
    <s v="TX501976"/>
    <x v="9"/>
    <x v="0"/>
    <n v="35.9"/>
    <x v="1520"/>
    <x v="71"/>
    <d v="2025-03-15T00:00:00"/>
    <x v="1"/>
    <x v="1"/>
    <x v="2"/>
    <x v="0"/>
    <x v="1"/>
    <x v="1"/>
    <x v="10"/>
    <x v="1"/>
  </r>
  <r>
    <s v="TX501977"/>
    <x v="13"/>
    <x v="12"/>
    <n v="29.4"/>
    <x v="833"/>
    <x v="72"/>
    <d v="2025-03-15T00:00:00"/>
    <x v="1"/>
    <x v="2"/>
    <x v="2"/>
    <x v="0"/>
    <x v="33"/>
    <x v="3"/>
    <x v="10"/>
    <x v="1"/>
  </r>
  <r>
    <s v="TX501978"/>
    <x v="8"/>
    <x v="9"/>
    <n v="29.1"/>
    <x v="973"/>
    <x v="72"/>
    <d v="2025-03-22T00:00:00"/>
    <x v="3"/>
    <x v="2"/>
    <x v="1"/>
    <x v="0"/>
    <x v="33"/>
    <x v="9"/>
    <x v="10"/>
    <x v="3"/>
  </r>
  <r>
    <s v="TX501979"/>
    <x v="8"/>
    <x v="2"/>
    <n v="33.5"/>
    <x v="427"/>
    <x v="72"/>
    <d v="2025-03-26T00:00:00"/>
    <x v="1"/>
    <x v="0"/>
    <x v="2"/>
    <x v="0"/>
    <x v="22"/>
    <x v="13"/>
    <x v="10"/>
    <x v="1"/>
  </r>
  <r>
    <s v="TX501980"/>
    <x v="4"/>
    <x v="7"/>
    <n v="36"/>
    <x v="1521"/>
    <x v="72"/>
    <d v="2025-03-14T00:00:00"/>
    <x v="1"/>
    <x v="3"/>
    <x v="2"/>
    <x v="0"/>
    <x v="3"/>
    <x v="7"/>
    <x v="10"/>
    <x v="1"/>
  </r>
  <r>
    <s v="TX501981"/>
    <x v="16"/>
    <x v="2"/>
    <n v="57.3"/>
    <x v="1522"/>
    <x v="72"/>
    <d v="2025-03-18T00:00:00"/>
    <x v="2"/>
    <x v="0"/>
    <x v="2"/>
    <x v="0"/>
    <x v="3"/>
    <x v="5"/>
    <x v="10"/>
    <x v="2"/>
  </r>
  <r>
    <s v="TX501982"/>
    <x v="1"/>
    <x v="0"/>
    <n v="81.400000000000006"/>
    <x v="1523"/>
    <x v="72"/>
    <d v="2025-03-15T00:00:00"/>
    <x v="2"/>
    <x v="2"/>
    <x v="2"/>
    <x v="0"/>
    <x v="3"/>
    <x v="3"/>
    <x v="10"/>
    <x v="2"/>
  </r>
  <r>
    <s v="TX501983"/>
    <x v="10"/>
    <x v="1"/>
    <n v="35.299999999999997"/>
    <x v="527"/>
    <x v="72"/>
    <d v="2025-03-18T00:00:00"/>
    <x v="1"/>
    <x v="0"/>
    <x v="2"/>
    <x v="0"/>
    <x v="3"/>
    <x v="5"/>
    <x v="10"/>
    <x v="1"/>
  </r>
  <r>
    <s v="TX501984"/>
    <x v="3"/>
    <x v="0"/>
    <n v="36.1"/>
    <x v="168"/>
    <x v="72"/>
    <d v="2025-03-15T00:00:00"/>
    <x v="2"/>
    <x v="4"/>
    <x v="0"/>
    <x v="0"/>
    <x v="3"/>
    <x v="3"/>
    <x v="10"/>
    <x v="2"/>
  </r>
  <r>
    <s v="TX501985"/>
    <x v="1"/>
    <x v="1"/>
    <n v="36.700000000000003"/>
    <x v="1524"/>
    <x v="72"/>
    <d v="2025-03-16T00:00:00"/>
    <x v="2"/>
    <x v="0"/>
    <x v="2"/>
    <x v="0"/>
    <x v="3"/>
    <x v="1"/>
    <x v="10"/>
    <x v="2"/>
  </r>
  <r>
    <s v="TX501986"/>
    <x v="10"/>
    <x v="0"/>
    <n v="20.9"/>
    <x v="798"/>
    <x v="72"/>
    <d v="2025-03-16T00:00:00"/>
    <x v="2"/>
    <x v="0"/>
    <x v="4"/>
    <x v="0"/>
    <x v="3"/>
    <x v="1"/>
    <x v="10"/>
    <x v="2"/>
  </r>
  <r>
    <s v="TX501987"/>
    <x v="12"/>
    <x v="2"/>
    <n v="58.8"/>
    <x v="1525"/>
    <x v="72"/>
    <d v="2025-03-18T00:00:00"/>
    <x v="1"/>
    <x v="0"/>
    <x v="2"/>
    <x v="0"/>
    <x v="25"/>
    <x v="5"/>
    <x v="10"/>
    <x v="1"/>
  </r>
  <r>
    <s v="TX501988"/>
    <x v="2"/>
    <x v="2"/>
    <n v="97.6"/>
    <x v="1526"/>
    <x v="73"/>
    <d v="2025-03-17T00:00:00"/>
    <x v="0"/>
    <x v="0"/>
    <x v="0"/>
    <x v="0"/>
    <x v="6"/>
    <x v="1"/>
    <x v="10"/>
    <x v="0"/>
  </r>
  <r>
    <s v="TX501989"/>
    <x v="1"/>
    <x v="1"/>
    <n v="58.7"/>
    <x v="1527"/>
    <x v="73"/>
    <d v="2025-03-18T00:00:00"/>
    <x v="2"/>
    <x v="0"/>
    <x v="1"/>
    <x v="0"/>
    <x v="6"/>
    <x v="2"/>
    <x v="10"/>
    <x v="2"/>
  </r>
  <r>
    <s v="TX501990"/>
    <x v="6"/>
    <x v="9"/>
    <n v="71.900000000000006"/>
    <x v="1528"/>
    <x v="73"/>
    <d v="2025-03-16T00:00:00"/>
    <x v="0"/>
    <x v="0"/>
    <x v="1"/>
    <x v="0"/>
    <x v="6"/>
    <x v="3"/>
    <x v="10"/>
    <x v="0"/>
  </r>
  <r>
    <s v="TX501991"/>
    <x v="1"/>
    <x v="1"/>
    <n v="62.4"/>
    <x v="1109"/>
    <x v="73"/>
    <d v="2025-03-17T00:00:00"/>
    <x v="0"/>
    <x v="0"/>
    <x v="1"/>
    <x v="0"/>
    <x v="8"/>
    <x v="1"/>
    <x v="10"/>
    <x v="0"/>
  </r>
  <r>
    <s v="TX501992"/>
    <x v="6"/>
    <x v="27"/>
    <n v="53.8"/>
    <x v="1529"/>
    <x v="73"/>
    <d v="2025-03-16T00:00:00"/>
    <x v="2"/>
    <x v="1"/>
    <x v="0"/>
    <x v="0"/>
    <x v="8"/>
    <x v="3"/>
    <x v="10"/>
    <x v="2"/>
  </r>
  <r>
    <s v="TX501993"/>
    <x v="9"/>
    <x v="0"/>
    <n v="43.8"/>
    <x v="328"/>
    <x v="73"/>
    <d v="2025-03-22T00:00:00"/>
    <x v="2"/>
    <x v="0"/>
    <x v="2"/>
    <x v="0"/>
    <x v="8"/>
    <x v="6"/>
    <x v="10"/>
    <x v="2"/>
  </r>
  <r>
    <s v="TX501994"/>
    <x v="5"/>
    <x v="2"/>
    <n v="53.6"/>
    <x v="1530"/>
    <x v="73"/>
    <d v="2025-03-16T00:00:00"/>
    <x v="1"/>
    <x v="3"/>
    <x v="0"/>
    <x v="0"/>
    <x v="8"/>
    <x v="3"/>
    <x v="10"/>
    <x v="1"/>
  </r>
  <r>
    <s v="TX501995"/>
    <x v="12"/>
    <x v="1"/>
    <n v="84.3"/>
    <x v="1531"/>
    <x v="73"/>
    <d v="2025-03-18T00:00:00"/>
    <x v="1"/>
    <x v="4"/>
    <x v="1"/>
    <x v="0"/>
    <x v="8"/>
    <x v="2"/>
    <x v="10"/>
    <x v="1"/>
  </r>
  <r>
    <s v="TX501996"/>
    <x v="6"/>
    <x v="11"/>
    <n v="117.9"/>
    <x v="1532"/>
    <x v="73"/>
    <d v="2025-03-16T00:00:00"/>
    <x v="2"/>
    <x v="1"/>
    <x v="2"/>
    <x v="0"/>
    <x v="8"/>
    <x v="3"/>
    <x v="10"/>
    <x v="2"/>
  </r>
  <r>
    <s v="TX501997"/>
    <x v="4"/>
    <x v="8"/>
    <n v="30"/>
    <x v="1533"/>
    <x v="73"/>
    <d v="2025-03-16T00:00:00"/>
    <x v="2"/>
    <x v="1"/>
    <x v="0"/>
    <x v="0"/>
    <x v="26"/>
    <x v="3"/>
    <x v="10"/>
    <x v="2"/>
  </r>
  <r>
    <s v="TX501998"/>
    <x v="14"/>
    <x v="2"/>
    <n v="37.299999999999997"/>
    <x v="1534"/>
    <x v="73"/>
    <d v="2025-03-16T00:00:00"/>
    <x v="1"/>
    <x v="2"/>
    <x v="0"/>
    <x v="0"/>
    <x v="9"/>
    <x v="3"/>
    <x v="10"/>
    <x v="1"/>
  </r>
  <r>
    <s v="TX501999"/>
    <x v="4"/>
    <x v="11"/>
    <n v="25.1"/>
    <x v="1535"/>
    <x v="73"/>
    <d v="2025-03-17T00:00:00"/>
    <x v="1"/>
    <x v="1"/>
    <x v="2"/>
    <x v="0"/>
    <x v="11"/>
    <x v="1"/>
    <x v="10"/>
    <x v="1"/>
  </r>
  <r>
    <s v="TX502000"/>
    <x v="8"/>
    <x v="5"/>
    <n v="36"/>
    <x v="501"/>
    <x v="73"/>
    <d v="2025-03-25T00:00:00"/>
    <x v="1"/>
    <x v="1"/>
    <x v="0"/>
    <x v="0"/>
    <x v="18"/>
    <x v="14"/>
    <x v="10"/>
    <x v="1"/>
  </r>
  <r>
    <s v="TX502001"/>
    <x v="16"/>
    <x v="2"/>
    <n v="48.5"/>
    <x v="973"/>
    <x v="73"/>
    <d v="2025-03-19T00:00:00"/>
    <x v="2"/>
    <x v="1"/>
    <x v="0"/>
    <x v="0"/>
    <x v="19"/>
    <x v="5"/>
    <x v="10"/>
    <x v="2"/>
  </r>
  <r>
    <s v="TX502002"/>
    <x v="17"/>
    <x v="13"/>
    <n v="21.1"/>
    <x v="1077"/>
    <x v="73"/>
    <d v="2025-03-16T00:00:00"/>
    <x v="1"/>
    <x v="1"/>
    <x v="2"/>
    <x v="0"/>
    <x v="21"/>
    <x v="3"/>
    <x v="10"/>
    <x v="1"/>
  </r>
  <r>
    <s v="TX502003"/>
    <x v="15"/>
    <x v="21"/>
    <n v="43.2"/>
    <x v="1536"/>
    <x v="73"/>
    <d v="2025-03-16T00:00:00"/>
    <x v="3"/>
    <x v="0"/>
    <x v="1"/>
    <x v="0"/>
    <x v="21"/>
    <x v="3"/>
    <x v="10"/>
    <x v="3"/>
  </r>
  <r>
    <s v="TX502004"/>
    <x v="9"/>
    <x v="1"/>
    <n v="21.1"/>
    <x v="1283"/>
    <x v="73"/>
    <d v="2025-03-16T00:00:00"/>
    <x v="0"/>
    <x v="3"/>
    <x v="1"/>
    <x v="0"/>
    <x v="21"/>
    <x v="3"/>
    <x v="10"/>
    <x v="0"/>
  </r>
  <r>
    <s v="TX502005"/>
    <x v="6"/>
    <x v="12"/>
    <n v="41.3"/>
    <x v="1537"/>
    <x v="73"/>
    <d v="2025-03-17T00:00:00"/>
    <x v="2"/>
    <x v="3"/>
    <x v="2"/>
    <x v="0"/>
    <x v="1"/>
    <x v="1"/>
    <x v="10"/>
    <x v="2"/>
  </r>
  <r>
    <s v="TX502006"/>
    <x v="8"/>
    <x v="1"/>
    <n v="15.3"/>
    <x v="1538"/>
    <x v="73"/>
    <d v="2025-03-18T00:00:00"/>
    <x v="0"/>
    <x v="2"/>
    <x v="2"/>
    <x v="0"/>
    <x v="1"/>
    <x v="2"/>
    <x v="10"/>
    <x v="0"/>
  </r>
  <r>
    <s v="TX502007"/>
    <x v="1"/>
    <x v="0"/>
    <n v="54.6"/>
    <x v="1539"/>
    <x v="73"/>
    <d v="2025-03-17T00:00:00"/>
    <x v="1"/>
    <x v="1"/>
    <x v="1"/>
    <x v="0"/>
    <x v="2"/>
    <x v="1"/>
    <x v="10"/>
    <x v="1"/>
  </r>
  <r>
    <s v="TX502008"/>
    <x v="8"/>
    <x v="0"/>
    <n v="15.9"/>
    <x v="1021"/>
    <x v="73"/>
    <d v="2025-03-16T00:00:00"/>
    <x v="1"/>
    <x v="0"/>
    <x v="1"/>
    <x v="0"/>
    <x v="22"/>
    <x v="3"/>
    <x v="10"/>
    <x v="1"/>
  </r>
  <r>
    <s v="TX502009"/>
    <x v="9"/>
    <x v="0"/>
    <n v="50.2"/>
    <x v="486"/>
    <x v="73"/>
    <d v="2025-03-17T00:00:00"/>
    <x v="2"/>
    <x v="3"/>
    <x v="2"/>
    <x v="0"/>
    <x v="34"/>
    <x v="1"/>
    <x v="10"/>
    <x v="2"/>
  </r>
  <r>
    <s v="TX502010"/>
    <x v="11"/>
    <x v="12"/>
    <n v="85.1"/>
    <x v="1540"/>
    <x v="73"/>
    <d v="2025-03-16T00:00:00"/>
    <x v="2"/>
    <x v="3"/>
    <x v="4"/>
    <x v="0"/>
    <x v="34"/>
    <x v="3"/>
    <x v="10"/>
    <x v="2"/>
  </r>
  <r>
    <s v="TX502011"/>
    <x v="11"/>
    <x v="1"/>
    <n v="41.4"/>
    <x v="1182"/>
    <x v="73"/>
    <d v="2025-03-16T00:00:00"/>
    <x v="2"/>
    <x v="0"/>
    <x v="2"/>
    <x v="0"/>
    <x v="3"/>
    <x v="3"/>
    <x v="10"/>
    <x v="2"/>
  </r>
  <r>
    <s v="TX502012"/>
    <x v="4"/>
    <x v="3"/>
    <n v="32.700000000000003"/>
    <x v="1541"/>
    <x v="73"/>
    <d v="2025-03-16T00:00:00"/>
    <x v="2"/>
    <x v="2"/>
    <x v="1"/>
    <x v="0"/>
    <x v="3"/>
    <x v="3"/>
    <x v="10"/>
    <x v="2"/>
  </r>
  <r>
    <s v="TX502013"/>
    <x v="4"/>
    <x v="1"/>
    <n v="41.6"/>
    <x v="707"/>
    <x v="73"/>
    <d v="2025-03-17T00:00:00"/>
    <x v="1"/>
    <x v="4"/>
    <x v="1"/>
    <x v="0"/>
    <x v="3"/>
    <x v="1"/>
    <x v="10"/>
    <x v="1"/>
  </r>
  <r>
    <s v="TX502014"/>
    <x v="5"/>
    <x v="12"/>
    <n v="64.8"/>
    <x v="629"/>
    <x v="73"/>
    <d v="2025-03-16T00:00:00"/>
    <x v="0"/>
    <x v="2"/>
    <x v="0"/>
    <x v="0"/>
    <x v="3"/>
    <x v="3"/>
    <x v="10"/>
    <x v="0"/>
  </r>
  <r>
    <s v="TX502015"/>
    <x v="15"/>
    <x v="1"/>
    <n v="33.6"/>
    <x v="863"/>
    <x v="73"/>
    <d v="2025-03-16T00:00:00"/>
    <x v="1"/>
    <x v="0"/>
    <x v="2"/>
    <x v="0"/>
    <x v="3"/>
    <x v="3"/>
    <x v="10"/>
    <x v="1"/>
  </r>
  <r>
    <s v="TX502016"/>
    <x v="6"/>
    <x v="2"/>
    <n v="100.7"/>
    <x v="1542"/>
    <x v="73"/>
    <d v="2025-03-16T00:00:00"/>
    <x v="0"/>
    <x v="1"/>
    <x v="0"/>
    <x v="0"/>
    <x v="3"/>
    <x v="3"/>
    <x v="10"/>
    <x v="0"/>
  </r>
  <r>
    <s v="TX502017"/>
    <x v="4"/>
    <x v="1"/>
    <n v="49.3"/>
    <x v="1543"/>
    <x v="74"/>
    <d v="2025-03-18T00:00:00"/>
    <x v="2"/>
    <x v="4"/>
    <x v="2"/>
    <x v="0"/>
    <x v="3"/>
    <x v="1"/>
    <x v="11"/>
    <x v="2"/>
  </r>
  <r>
    <s v="TX502018"/>
    <x v="2"/>
    <x v="13"/>
    <n v="97"/>
    <x v="1544"/>
    <x v="74"/>
    <d v="2025-03-19T00:00:00"/>
    <x v="1"/>
    <x v="2"/>
    <x v="2"/>
    <x v="0"/>
    <x v="3"/>
    <x v="2"/>
    <x v="11"/>
    <x v="1"/>
  </r>
  <r>
    <s v="TX502019"/>
    <x v="0"/>
    <x v="13"/>
    <n v="25.2"/>
    <x v="277"/>
    <x v="74"/>
    <d v="2025-03-19T00:00:00"/>
    <x v="2"/>
    <x v="4"/>
    <x v="2"/>
    <x v="0"/>
    <x v="3"/>
    <x v="2"/>
    <x v="11"/>
    <x v="2"/>
  </r>
  <r>
    <s v="TX502020"/>
    <x v="0"/>
    <x v="5"/>
    <n v="12.2"/>
    <x v="1545"/>
    <x v="74"/>
    <d v="2025-03-17T00:00:00"/>
    <x v="0"/>
    <x v="0"/>
    <x v="1"/>
    <x v="0"/>
    <x v="3"/>
    <x v="3"/>
    <x v="11"/>
    <x v="0"/>
  </r>
  <r>
    <s v="TX502021"/>
    <x v="8"/>
    <x v="3"/>
    <n v="38.799999999999997"/>
    <x v="1546"/>
    <x v="74"/>
    <d v="2025-03-18T00:00:00"/>
    <x v="2"/>
    <x v="1"/>
    <x v="1"/>
    <x v="0"/>
    <x v="23"/>
    <x v="1"/>
    <x v="11"/>
    <x v="2"/>
  </r>
  <r>
    <s v="TX502022"/>
    <x v="2"/>
    <x v="12"/>
    <n v="53.2"/>
    <x v="1547"/>
    <x v="74"/>
    <d v="2025-03-17T00:00:00"/>
    <x v="1"/>
    <x v="0"/>
    <x v="2"/>
    <x v="0"/>
    <x v="8"/>
    <x v="3"/>
    <x v="11"/>
    <x v="1"/>
  </r>
  <r>
    <s v="TX502023"/>
    <x v="6"/>
    <x v="3"/>
    <n v="151"/>
    <x v="1548"/>
    <x v="74"/>
    <d v="2025-03-17T00:00:00"/>
    <x v="3"/>
    <x v="1"/>
    <x v="1"/>
    <x v="0"/>
    <x v="8"/>
    <x v="3"/>
    <x v="11"/>
    <x v="3"/>
  </r>
  <r>
    <s v="TX502024"/>
    <x v="1"/>
    <x v="1"/>
    <n v="37.1"/>
    <x v="1314"/>
    <x v="74"/>
    <d v="2025-03-17T00:00:00"/>
    <x v="2"/>
    <x v="4"/>
    <x v="0"/>
    <x v="0"/>
    <x v="8"/>
    <x v="3"/>
    <x v="11"/>
    <x v="2"/>
  </r>
  <r>
    <s v="TX502025"/>
    <x v="5"/>
    <x v="1"/>
    <n v="38.9"/>
    <x v="482"/>
    <x v="74"/>
    <d v="2025-03-17T00:00:00"/>
    <x v="1"/>
    <x v="4"/>
    <x v="0"/>
    <x v="0"/>
    <x v="8"/>
    <x v="3"/>
    <x v="11"/>
    <x v="1"/>
  </r>
  <r>
    <s v="TX502026"/>
    <x v="10"/>
    <x v="1"/>
    <n v="35.200000000000003"/>
    <x v="1549"/>
    <x v="74"/>
    <d v="2025-03-17T00:00:00"/>
    <x v="1"/>
    <x v="0"/>
    <x v="2"/>
    <x v="0"/>
    <x v="17"/>
    <x v="3"/>
    <x v="11"/>
    <x v="1"/>
  </r>
  <r>
    <s v="TX502027"/>
    <x v="0"/>
    <x v="1"/>
    <n v="22.3"/>
    <x v="225"/>
    <x v="74"/>
    <d v="2025-03-18T00:00:00"/>
    <x v="2"/>
    <x v="1"/>
    <x v="0"/>
    <x v="0"/>
    <x v="9"/>
    <x v="1"/>
    <x v="11"/>
    <x v="2"/>
  </r>
  <r>
    <s v="TX502028"/>
    <x v="9"/>
    <x v="0"/>
    <n v="43.3"/>
    <x v="1286"/>
    <x v="74"/>
    <d v="2025-03-19T00:00:00"/>
    <x v="2"/>
    <x v="0"/>
    <x v="2"/>
    <x v="0"/>
    <x v="11"/>
    <x v="2"/>
    <x v="11"/>
    <x v="2"/>
  </r>
  <r>
    <s v="TX502029"/>
    <x v="6"/>
    <x v="13"/>
    <n v="75.900000000000006"/>
    <x v="1550"/>
    <x v="74"/>
    <d v="2025-03-22T00:00:00"/>
    <x v="1"/>
    <x v="0"/>
    <x v="0"/>
    <x v="0"/>
    <x v="11"/>
    <x v="4"/>
    <x v="11"/>
    <x v="1"/>
  </r>
  <r>
    <s v="TX502030"/>
    <x v="6"/>
    <x v="2"/>
    <n v="78.7"/>
    <x v="1551"/>
    <x v="74"/>
    <d v="2025-03-20T00:00:00"/>
    <x v="2"/>
    <x v="2"/>
    <x v="1"/>
    <x v="0"/>
    <x v="11"/>
    <x v="5"/>
    <x v="11"/>
    <x v="2"/>
  </r>
  <r>
    <s v="TX502031"/>
    <x v="1"/>
    <x v="0"/>
    <n v="66.3"/>
    <x v="1124"/>
    <x v="74"/>
    <d v="2025-03-20T00:00:00"/>
    <x v="2"/>
    <x v="0"/>
    <x v="2"/>
    <x v="0"/>
    <x v="19"/>
    <x v="5"/>
    <x v="11"/>
    <x v="2"/>
  </r>
  <r>
    <s v="TX502032"/>
    <x v="8"/>
    <x v="1"/>
    <n v="33.6"/>
    <x v="863"/>
    <x v="74"/>
    <d v="2025-03-16T00:00:00"/>
    <x v="1"/>
    <x v="0"/>
    <x v="1"/>
    <x v="0"/>
    <x v="19"/>
    <x v="7"/>
    <x v="11"/>
    <x v="1"/>
  </r>
  <r>
    <s v="TX502033"/>
    <x v="2"/>
    <x v="3"/>
    <n v="61.4"/>
    <x v="1552"/>
    <x v="74"/>
    <d v="2025-03-17T00:00:00"/>
    <x v="1"/>
    <x v="4"/>
    <x v="0"/>
    <x v="0"/>
    <x v="19"/>
    <x v="3"/>
    <x v="11"/>
    <x v="1"/>
  </r>
  <r>
    <s v="TX502034"/>
    <x v="8"/>
    <x v="1"/>
    <n v="17.5"/>
    <x v="1553"/>
    <x v="74"/>
    <d v="2025-03-19T00:00:00"/>
    <x v="2"/>
    <x v="0"/>
    <x v="0"/>
    <x v="0"/>
    <x v="21"/>
    <x v="2"/>
    <x v="11"/>
    <x v="2"/>
  </r>
  <r>
    <s v="TX502035"/>
    <x v="8"/>
    <x v="1"/>
    <n v="32.5"/>
    <x v="891"/>
    <x v="74"/>
    <d v="2025-03-19T00:00:00"/>
    <x v="2"/>
    <x v="1"/>
    <x v="0"/>
    <x v="0"/>
    <x v="21"/>
    <x v="2"/>
    <x v="11"/>
    <x v="2"/>
  </r>
  <r>
    <s v="TX502036"/>
    <x v="4"/>
    <x v="0"/>
    <n v="34.6"/>
    <x v="169"/>
    <x v="74"/>
    <d v="2025-03-17T00:00:00"/>
    <x v="2"/>
    <x v="4"/>
    <x v="0"/>
    <x v="0"/>
    <x v="21"/>
    <x v="3"/>
    <x v="11"/>
    <x v="2"/>
  </r>
  <r>
    <s v="TX502037"/>
    <x v="2"/>
    <x v="0"/>
    <n v="75.900000000000006"/>
    <x v="1554"/>
    <x v="74"/>
    <d v="2025-03-16T00:00:00"/>
    <x v="1"/>
    <x v="1"/>
    <x v="2"/>
    <x v="0"/>
    <x v="21"/>
    <x v="7"/>
    <x v="11"/>
    <x v="1"/>
  </r>
  <r>
    <s v="TX502038"/>
    <x v="1"/>
    <x v="2"/>
    <n v="42.1"/>
    <x v="1555"/>
    <x v="74"/>
    <d v="2025-03-19T00:00:00"/>
    <x v="1"/>
    <x v="1"/>
    <x v="1"/>
    <x v="0"/>
    <x v="21"/>
    <x v="2"/>
    <x v="11"/>
    <x v="1"/>
  </r>
  <r>
    <s v="TX502039"/>
    <x v="7"/>
    <x v="2"/>
    <n v="65.3"/>
    <x v="243"/>
    <x v="74"/>
    <d v="2025-03-23T00:00:00"/>
    <x v="1"/>
    <x v="0"/>
    <x v="0"/>
    <x v="0"/>
    <x v="1"/>
    <x v="6"/>
    <x v="11"/>
    <x v="1"/>
  </r>
  <r>
    <s v="TX502040"/>
    <x v="15"/>
    <x v="0"/>
    <n v="20.6"/>
    <x v="1500"/>
    <x v="74"/>
    <d v="2025-03-19T00:00:00"/>
    <x v="1"/>
    <x v="3"/>
    <x v="0"/>
    <x v="0"/>
    <x v="42"/>
    <x v="2"/>
    <x v="11"/>
    <x v="1"/>
  </r>
  <r>
    <s v="TX502041"/>
    <x v="8"/>
    <x v="3"/>
    <n v="16.5"/>
    <x v="100"/>
    <x v="74"/>
    <d v="2025-03-17T00:00:00"/>
    <x v="1"/>
    <x v="1"/>
    <x v="1"/>
    <x v="0"/>
    <x v="2"/>
    <x v="3"/>
    <x v="11"/>
    <x v="1"/>
  </r>
  <r>
    <s v="TX502042"/>
    <x v="16"/>
    <x v="7"/>
    <n v="36.200000000000003"/>
    <x v="1556"/>
    <x v="74"/>
    <d v="2025-03-18T00:00:00"/>
    <x v="1"/>
    <x v="0"/>
    <x v="2"/>
    <x v="0"/>
    <x v="2"/>
    <x v="1"/>
    <x v="11"/>
    <x v="1"/>
  </r>
  <r>
    <s v="TX502043"/>
    <x v="6"/>
    <x v="0"/>
    <n v="53.2"/>
    <x v="1557"/>
    <x v="74"/>
    <d v="2025-03-17T00:00:00"/>
    <x v="2"/>
    <x v="0"/>
    <x v="1"/>
    <x v="0"/>
    <x v="22"/>
    <x v="3"/>
    <x v="11"/>
    <x v="2"/>
  </r>
  <r>
    <s v="TX502044"/>
    <x v="2"/>
    <x v="21"/>
    <n v="176"/>
    <x v="1558"/>
    <x v="74"/>
    <d v="2025-03-17T00:00:00"/>
    <x v="2"/>
    <x v="0"/>
    <x v="1"/>
    <x v="0"/>
    <x v="3"/>
    <x v="3"/>
    <x v="11"/>
    <x v="2"/>
  </r>
  <r>
    <s v="TX502045"/>
    <x v="1"/>
    <x v="0"/>
    <n v="52.4"/>
    <x v="1559"/>
    <x v="74"/>
    <d v="2025-03-17T00:00:00"/>
    <x v="1"/>
    <x v="1"/>
    <x v="0"/>
    <x v="0"/>
    <x v="3"/>
    <x v="3"/>
    <x v="11"/>
    <x v="1"/>
  </r>
  <r>
    <s v="TX502046"/>
    <x v="10"/>
    <x v="2"/>
    <n v="48.2"/>
    <x v="1435"/>
    <x v="74"/>
    <d v="2025-03-17T00:00:00"/>
    <x v="2"/>
    <x v="1"/>
    <x v="2"/>
    <x v="0"/>
    <x v="3"/>
    <x v="3"/>
    <x v="11"/>
    <x v="2"/>
  </r>
  <r>
    <s v="TX502047"/>
    <x v="15"/>
    <x v="0"/>
    <n v="51.6"/>
    <x v="937"/>
    <x v="74"/>
    <d v="2025-03-20T00:00:00"/>
    <x v="2"/>
    <x v="2"/>
    <x v="1"/>
    <x v="0"/>
    <x v="3"/>
    <x v="5"/>
    <x v="11"/>
    <x v="2"/>
  </r>
  <r>
    <s v="TX502048"/>
    <x v="0"/>
    <x v="12"/>
    <n v="33.700000000000003"/>
    <x v="1093"/>
    <x v="75"/>
    <d v="2025-03-18T00:00:00"/>
    <x v="1"/>
    <x v="0"/>
    <x v="0"/>
    <x v="0"/>
    <x v="3"/>
    <x v="3"/>
    <x v="11"/>
    <x v="1"/>
  </r>
  <r>
    <s v="TX502049"/>
    <x v="4"/>
    <x v="7"/>
    <n v="36.299999999999997"/>
    <x v="1560"/>
    <x v="75"/>
    <d v="2025-03-19T00:00:00"/>
    <x v="2"/>
    <x v="4"/>
    <x v="1"/>
    <x v="0"/>
    <x v="3"/>
    <x v="1"/>
    <x v="11"/>
    <x v="2"/>
  </r>
  <r>
    <s v="TX502050"/>
    <x v="8"/>
    <x v="0"/>
    <n v="23.4"/>
    <x v="1561"/>
    <x v="75"/>
    <d v="2025-03-22T00:00:00"/>
    <x v="2"/>
    <x v="1"/>
    <x v="2"/>
    <x v="0"/>
    <x v="3"/>
    <x v="0"/>
    <x v="11"/>
    <x v="2"/>
  </r>
  <r>
    <s v="TX502051"/>
    <x v="15"/>
    <x v="8"/>
    <n v="56.6"/>
    <x v="1562"/>
    <x v="75"/>
    <d v="2025-03-19T00:00:00"/>
    <x v="2"/>
    <x v="1"/>
    <x v="0"/>
    <x v="0"/>
    <x v="3"/>
    <x v="1"/>
    <x v="11"/>
    <x v="2"/>
  </r>
  <r>
    <s v="TX502052"/>
    <x v="15"/>
    <x v="1"/>
    <n v="26.8"/>
    <x v="1563"/>
    <x v="75"/>
    <d v="2025-03-18T00:00:00"/>
    <x v="1"/>
    <x v="0"/>
    <x v="0"/>
    <x v="0"/>
    <x v="4"/>
    <x v="3"/>
    <x v="11"/>
    <x v="1"/>
  </r>
  <r>
    <s v="TX502053"/>
    <x v="0"/>
    <x v="2"/>
    <n v="11.3"/>
    <x v="1564"/>
    <x v="75"/>
    <d v="2025-03-19T00:00:00"/>
    <x v="1"/>
    <x v="2"/>
    <x v="0"/>
    <x v="0"/>
    <x v="25"/>
    <x v="1"/>
    <x v="11"/>
    <x v="1"/>
  </r>
  <r>
    <s v="TX502054"/>
    <x v="6"/>
    <x v="2"/>
    <n v="60.1"/>
    <x v="1565"/>
    <x v="75"/>
    <d v="2025-03-20T00:00:00"/>
    <x v="2"/>
    <x v="0"/>
    <x v="0"/>
    <x v="0"/>
    <x v="7"/>
    <x v="2"/>
    <x v="11"/>
    <x v="2"/>
  </r>
  <r>
    <s v="TX502055"/>
    <x v="0"/>
    <x v="5"/>
    <n v="27.7"/>
    <x v="1566"/>
    <x v="75"/>
    <d v="2025-03-22T00:00:00"/>
    <x v="2"/>
    <x v="0"/>
    <x v="0"/>
    <x v="0"/>
    <x v="8"/>
    <x v="0"/>
    <x v="11"/>
    <x v="2"/>
  </r>
  <r>
    <s v="TX502056"/>
    <x v="15"/>
    <x v="0"/>
    <n v="71.400000000000006"/>
    <x v="660"/>
    <x v="75"/>
    <d v="2025-03-20T00:00:00"/>
    <x v="1"/>
    <x v="0"/>
    <x v="2"/>
    <x v="0"/>
    <x v="8"/>
    <x v="2"/>
    <x v="11"/>
    <x v="1"/>
  </r>
  <r>
    <s v="TX502057"/>
    <x v="2"/>
    <x v="1"/>
    <n v="66.7"/>
    <x v="1567"/>
    <x v="75"/>
    <d v="2025-03-18T00:00:00"/>
    <x v="2"/>
    <x v="0"/>
    <x v="2"/>
    <x v="0"/>
    <x v="8"/>
    <x v="3"/>
    <x v="11"/>
    <x v="2"/>
  </r>
  <r>
    <s v="TX502058"/>
    <x v="13"/>
    <x v="9"/>
    <n v="39.1"/>
    <x v="1568"/>
    <x v="75"/>
    <d v="2025-03-18T00:00:00"/>
    <x v="2"/>
    <x v="0"/>
    <x v="0"/>
    <x v="0"/>
    <x v="8"/>
    <x v="3"/>
    <x v="11"/>
    <x v="2"/>
  </r>
  <r>
    <s v="TX502059"/>
    <x v="8"/>
    <x v="12"/>
    <n v="24.9"/>
    <x v="1569"/>
    <x v="75"/>
    <d v="2025-03-22T00:00:00"/>
    <x v="1"/>
    <x v="1"/>
    <x v="2"/>
    <x v="0"/>
    <x v="8"/>
    <x v="0"/>
    <x v="11"/>
    <x v="1"/>
  </r>
  <r>
    <s v="TX502060"/>
    <x v="5"/>
    <x v="9"/>
    <n v="29.2"/>
    <x v="1570"/>
    <x v="75"/>
    <d v="2025-03-18T00:00:00"/>
    <x v="1"/>
    <x v="0"/>
    <x v="2"/>
    <x v="0"/>
    <x v="17"/>
    <x v="3"/>
    <x v="11"/>
    <x v="1"/>
  </r>
  <r>
    <s v="TX502061"/>
    <x v="13"/>
    <x v="21"/>
    <n v="28.3"/>
    <x v="1571"/>
    <x v="75"/>
    <d v="2025-03-19T00:00:00"/>
    <x v="2"/>
    <x v="1"/>
    <x v="0"/>
    <x v="0"/>
    <x v="11"/>
    <x v="1"/>
    <x v="11"/>
    <x v="2"/>
  </r>
  <r>
    <s v="TX502062"/>
    <x v="9"/>
    <x v="2"/>
    <n v="37.799999999999997"/>
    <x v="1413"/>
    <x v="75"/>
    <d v="2025-03-18T00:00:00"/>
    <x v="2"/>
    <x v="0"/>
    <x v="1"/>
    <x v="0"/>
    <x v="11"/>
    <x v="3"/>
    <x v="11"/>
    <x v="2"/>
  </r>
  <r>
    <s v="TX502063"/>
    <x v="14"/>
    <x v="3"/>
    <n v="28.1"/>
    <x v="1572"/>
    <x v="75"/>
    <d v="2025-03-23T00:00:00"/>
    <x v="2"/>
    <x v="2"/>
    <x v="0"/>
    <x v="0"/>
    <x v="11"/>
    <x v="4"/>
    <x v="11"/>
    <x v="2"/>
  </r>
  <r>
    <s v="TX502064"/>
    <x v="1"/>
    <x v="2"/>
    <n v="59.7"/>
    <x v="1573"/>
    <x v="75"/>
    <d v="2025-03-19T00:00:00"/>
    <x v="2"/>
    <x v="2"/>
    <x v="0"/>
    <x v="0"/>
    <x v="11"/>
    <x v="1"/>
    <x v="11"/>
    <x v="2"/>
  </r>
  <r>
    <s v="TX502065"/>
    <x v="16"/>
    <x v="0"/>
    <n v="71.900000000000006"/>
    <x v="1574"/>
    <x v="75"/>
    <d v="2025-03-18T00:00:00"/>
    <x v="1"/>
    <x v="1"/>
    <x v="1"/>
    <x v="0"/>
    <x v="11"/>
    <x v="3"/>
    <x v="11"/>
    <x v="1"/>
  </r>
  <r>
    <s v="TX502066"/>
    <x v="1"/>
    <x v="1"/>
    <n v="56.9"/>
    <x v="1575"/>
    <x v="75"/>
    <d v="2025-03-18T00:00:00"/>
    <x v="1"/>
    <x v="2"/>
    <x v="0"/>
    <x v="0"/>
    <x v="13"/>
    <x v="3"/>
    <x v="11"/>
    <x v="1"/>
  </r>
  <r>
    <s v="TX502067"/>
    <x v="8"/>
    <x v="1"/>
    <n v="15.8"/>
    <x v="35"/>
    <x v="75"/>
    <d v="2025-03-20T00:00:00"/>
    <x v="2"/>
    <x v="2"/>
    <x v="1"/>
    <x v="0"/>
    <x v="1"/>
    <x v="2"/>
    <x v="11"/>
    <x v="2"/>
  </r>
  <r>
    <s v="TX502068"/>
    <x v="11"/>
    <x v="12"/>
    <n v="61.7"/>
    <x v="1576"/>
    <x v="75"/>
    <d v="2025-03-19T00:00:00"/>
    <x v="2"/>
    <x v="2"/>
    <x v="0"/>
    <x v="0"/>
    <x v="22"/>
    <x v="1"/>
    <x v="11"/>
    <x v="2"/>
  </r>
  <r>
    <s v="TX502069"/>
    <x v="2"/>
    <x v="7"/>
    <n v="105.2"/>
    <x v="1577"/>
    <x v="75"/>
    <d v="2025-03-19T00:00:00"/>
    <x v="1"/>
    <x v="1"/>
    <x v="4"/>
    <x v="0"/>
    <x v="3"/>
    <x v="1"/>
    <x v="11"/>
    <x v="1"/>
  </r>
  <r>
    <s v="TX502070"/>
    <x v="0"/>
    <x v="1"/>
    <n v="17"/>
    <x v="1222"/>
    <x v="75"/>
    <d v="2025-03-19T00:00:00"/>
    <x v="2"/>
    <x v="2"/>
    <x v="0"/>
    <x v="0"/>
    <x v="3"/>
    <x v="1"/>
    <x v="11"/>
    <x v="2"/>
  </r>
  <r>
    <s v="TX502071"/>
    <x v="6"/>
    <x v="2"/>
    <n v="84.1"/>
    <x v="1578"/>
    <x v="75"/>
    <d v="2025-03-18T00:00:00"/>
    <x v="1"/>
    <x v="2"/>
    <x v="0"/>
    <x v="0"/>
    <x v="3"/>
    <x v="3"/>
    <x v="11"/>
    <x v="1"/>
  </r>
  <r>
    <s v="TX502072"/>
    <x v="3"/>
    <x v="12"/>
    <n v="59.5"/>
    <x v="1248"/>
    <x v="75"/>
    <d v="2025-03-22T00:00:00"/>
    <x v="1"/>
    <x v="0"/>
    <x v="2"/>
    <x v="0"/>
    <x v="3"/>
    <x v="0"/>
    <x v="11"/>
    <x v="1"/>
  </r>
  <r>
    <s v="TX502073"/>
    <x v="8"/>
    <x v="1"/>
    <n v="57.5"/>
    <x v="1579"/>
    <x v="75"/>
    <d v="2025-03-19T00:00:00"/>
    <x v="1"/>
    <x v="1"/>
    <x v="2"/>
    <x v="0"/>
    <x v="3"/>
    <x v="1"/>
    <x v="11"/>
    <x v="1"/>
  </r>
  <r>
    <s v="TX502074"/>
    <x v="8"/>
    <x v="0"/>
    <n v="34.299999999999997"/>
    <x v="1580"/>
    <x v="75"/>
    <d v="2025-03-18T00:00:00"/>
    <x v="2"/>
    <x v="4"/>
    <x v="2"/>
    <x v="0"/>
    <x v="3"/>
    <x v="3"/>
    <x v="11"/>
    <x v="2"/>
  </r>
  <r>
    <s v="TX502075"/>
    <x v="5"/>
    <x v="1"/>
    <n v="27.8"/>
    <x v="1581"/>
    <x v="76"/>
    <d v="2025-03-20T00:00:00"/>
    <x v="2"/>
    <x v="0"/>
    <x v="0"/>
    <x v="0"/>
    <x v="3"/>
    <x v="1"/>
    <x v="11"/>
    <x v="2"/>
  </r>
  <r>
    <s v="TX502076"/>
    <x v="12"/>
    <x v="1"/>
    <n v="85"/>
    <x v="393"/>
    <x v="76"/>
    <d v="2025-03-18T00:00:00"/>
    <x v="1"/>
    <x v="2"/>
    <x v="2"/>
    <x v="0"/>
    <x v="3"/>
    <x v="7"/>
    <x v="11"/>
    <x v="1"/>
  </r>
  <r>
    <s v="TX502077"/>
    <x v="6"/>
    <x v="1"/>
    <n v="95"/>
    <x v="1582"/>
    <x v="76"/>
    <d v="2025-03-20T00:00:00"/>
    <x v="2"/>
    <x v="0"/>
    <x v="0"/>
    <x v="0"/>
    <x v="3"/>
    <x v="1"/>
    <x v="11"/>
    <x v="2"/>
  </r>
  <r>
    <s v="TX502078"/>
    <x v="16"/>
    <x v="1"/>
    <n v="32"/>
    <x v="34"/>
    <x v="76"/>
    <d v="2025-03-20T00:00:00"/>
    <x v="1"/>
    <x v="0"/>
    <x v="1"/>
    <x v="0"/>
    <x v="3"/>
    <x v="1"/>
    <x v="11"/>
    <x v="1"/>
  </r>
  <r>
    <s v="TX502079"/>
    <x v="2"/>
    <x v="1"/>
    <n v="65.2"/>
    <x v="1583"/>
    <x v="76"/>
    <d v="2025-03-19T00:00:00"/>
    <x v="2"/>
    <x v="1"/>
    <x v="0"/>
    <x v="0"/>
    <x v="3"/>
    <x v="3"/>
    <x v="11"/>
    <x v="2"/>
  </r>
  <r>
    <s v="TX502080"/>
    <x v="17"/>
    <x v="12"/>
    <n v="22"/>
    <x v="1155"/>
    <x v="76"/>
    <d v="2025-03-19T00:00:00"/>
    <x v="1"/>
    <x v="1"/>
    <x v="2"/>
    <x v="0"/>
    <x v="3"/>
    <x v="3"/>
    <x v="11"/>
    <x v="1"/>
  </r>
  <r>
    <s v="TX502081"/>
    <x v="15"/>
    <x v="2"/>
    <n v="69.400000000000006"/>
    <x v="140"/>
    <x v="76"/>
    <d v="2025-03-21T00:00:00"/>
    <x v="1"/>
    <x v="1"/>
    <x v="2"/>
    <x v="0"/>
    <x v="3"/>
    <x v="2"/>
    <x v="11"/>
    <x v="1"/>
  </r>
  <r>
    <s v="TX502082"/>
    <x v="10"/>
    <x v="13"/>
    <n v="31.5"/>
    <x v="620"/>
    <x v="76"/>
    <d v="2025-03-20T00:00:00"/>
    <x v="2"/>
    <x v="0"/>
    <x v="2"/>
    <x v="0"/>
    <x v="3"/>
    <x v="1"/>
    <x v="11"/>
    <x v="2"/>
  </r>
  <r>
    <s v="TX502083"/>
    <x v="6"/>
    <x v="0"/>
    <n v="45.8"/>
    <x v="494"/>
    <x v="76"/>
    <d v="2025-03-22T00:00:00"/>
    <x v="3"/>
    <x v="0"/>
    <x v="0"/>
    <x v="0"/>
    <x v="3"/>
    <x v="5"/>
    <x v="11"/>
    <x v="3"/>
  </r>
  <r>
    <s v="TX502084"/>
    <x v="19"/>
    <x v="12"/>
    <n v="12.8"/>
    <x v="180"/>
    <x v="76"/>
    <d v="2025-03-25T00:00:00"/>
    <x v="2"/>
    <x v="1"/>
    <x v="1"/>
    <x v="0"/>
    <x v="5"/>
    <x v="6"/>
    <x v="11"/>
    <x v="2"/>
  </r>
  <r>
    <s v="TX502085"/>
    <x v="5"/>
    <x v="2"/>
    <n v="115.3"/>
    <x v="1584"/>
    <x v="76"/>
    <d v="2025-03-19T00:00:00"/>
    <x v="2"/>
    <x v="2"/>
    <x v="2"/>
    <x v="0"/>
    <x v="6"/>
    <x v="3"/>
    <x v="11"/>
    <x v="2"/>
  </r>
  <r>
    <s v="TX502086"/>
    <x v="5"/>
    <x v="1"/>
    <n v="85"/>
    <x v="393"/>
    <x v="76"/>
    <d v="2025-03-20T00:00:00"/>
    <x v="2"/>
    <x v="1"/>
    <x v="0"/>
    <x v="0"/>
    <x v="7"/>
    <x v="1"/>
    <x v="11"/>
    <x v="2"/>
  </r>
  <r>
    <s v="TX502087"/>
    <x v="8"/>
    <x v="2"/>
    <n v="56.6"/>
    <x v="1026"/>
    <x v="76"/>
    <d v="2025-03-19T00:00:00"/>
    <x v="2"/>
    <x v="1"/>
    <x v="2"/>
    <x v="0"/>
    <x v="7"/>
    <x v="3"/>
    <x v="11"/>
    <x v="2"/>
  </r>
  <r>
    <s v="TX502088"/>
    <x v="15"/>
    <x v="6"/>
    <n v="46.3"/>
    <x v="1585"/>
    <x v="76"/>
    <d v="2025-03-21T00:00:00"/>
    <x v="1"/>
    <x v="0"/>
    <x v="0"/>
    <x v="0"/>
    <x v="7"/>
    <x v="2"/>
    <x v="11"/>
    <x v="1"/>
  </r>
  <r>
    <s v="TX502089"/>
    <x v="14"/>
    <x v="12"/>
    <n v="23"/>
    <x v="988"/>
    <x v="76"/>
    <d v="2025-03-22T00:00:00"/>
    <x v="1"/>
    <x v="3"/>
    <x v="2"/>
    <x v="0"/>
    <x v="7"/>
    <x v="5"/>
    <x v="11"/>
    <x v="1"/>
  </r>
  <r>
    <s v="TX502090"/>
    <x v="8"/>
    <x v="13"/>
    <n v="42.1"/>
    <x v="1586"/>
    <x v="76"/>
    <d v="2025-03-20T00:00:00"/>
    <x v="1"/>
    <x v="4"/>
    <x v="0"/>
    <x v="0"/>
    <x v="8"/>
    <x v="1"/>
    <x v="11"/>
    <x v="1"/>
  </r>
  <r>
    <s v="TX502091"/>
    <x v="5"/>
    <x v="3"/>
    <n v="57.4"/>
    <x v="1587"/>
    <x v="76"/>
    <d v="2025-03-22T00:00:00"/>
    <x v="2"/>
    <x v="1"/>
    <x v="4"/>
    <x v="0"/>
    <x v="8"/>
    <x v="5"/>
    <x v="11"/>
    <x v="2"/>
  </r>
  <r>
    <s v="TX502092"/>
    <x v="0"/>
    <x v="13"/>
    <n v="13.2"/>
    <x v="1113"/>
    <x v="76"/>
    <d v="2025-03-22T00:00:00"/>
    <x v="1"/>
    <x v="2"/>
    <x v="0"/>
    <x v="0"/>
    <x v="8"/>
    <x v="5"/>
    <x v="11"/>
    <x v="1"/>
  </r>
  <r>
    <s v="TX502093"/>
    <x v="6"/>
    <x v="2"/>
    <n v="52.3"/>
    <x v="1588"/>
    <x v="76"/>
    <d v="2025-03-19T00:00:00"/>
    <x v="1"/>
    <x v="1"/>
    <x v="0"/>
    <x v="0"/>
    <x v="8"/>
    <x v="3"/>
    <x v="11"/>
    <x v="1"/>
  </r>
  <r>
    <s v="TX502094"/>
    <x v="8"/>
    <x v="1"/>
    <n v="15.7"/>
    <x v="1323"/>
    <x v="76"/>
    <d v="2025-03-21T00:00:00"/>
    <x v="1"/>
    <x v="1"/>
    <x v="2"/>
    <x v="0"/>
    <x v="8"/>
    <x v="2"/>
    <x v="11"/>
    <x v="1"/>
  </r>
  <r>
    <s v="TX502095"/>
    <x v="7"/>
    <x v="2"/>
    <n v="35"/>
    <x v="211"/>
    <x v="76"/>
    <d v="2025-03-21T00:00:00"/>
    <x v="2"/>
    <x v="1"/>
    <x v="2"/>
    <x v="0"/>
    <x v="9"/>
    <x v="2"/>
    <x v="11"/>
    <x v="2"/>
  </r>
  <r>
    <s v="TX502096"/>
    <x v="4"/>
    <x v="2"/>
    <n v="26.6"/>
    <x v="1589"/>
    <x v="76"/>
    <d v="2025-03-18T00:00:00"/>
    <x v="1"/>
    <x v="1"/>
    <x v="2"/>
    <x v="0"/>
    <x v="11"/>
    <x v="7"/>
    <x v="11"/>
    <x v="1"/>
  </r>
  <r>
    <s v="TX502097"/>
    <x v="4"/>
    <x v="8"/>
    <n v="47.9"/>
    <x v="1590"/>
    <x v="77"/>
    <d v="2025-03-20T00:00:00"/>
    <x v="2"/>
    <x v="3"/>
    <x v="2"/>
    <x v="0"/>
    <x v="20"/>
    <x v="3"/>
    <x v="11"/>
    <x v="2"/>
  </r>
  <r>
    <s v="TX502098"/>
    <x v="5"/>
    <x v="0"/>
    <n v="80.099999999999994"/>
    <x v="1133"/>
    <x v="77"/>
    <d v="2025-03-20T00:00:00"/>
    <x v="1"/>
    <x v="2"/>
    <x v="0"/>
    <x v="0"/>
    <x v="21"/>
    <x v="3"/>
    <x v="11"/>
    <x v="1"/>
  </r>
  <r>
    <s v="TX502099"/>
    <x v="6"/>
    <x v="9"/>
    <n v="50.4"/>
    <x v="816"/>
    <x v="77"/>
    <d v="2025-03-20T00:00:00"/>
    <x v="1"/>
    <x v="1"/>
    <x v="2"/>
    <x v="0"/>
    <x v="21"/>
    <x v="3"/>
    <x v="11"/>
    <x v="1"/>
  </r>
  <r>
    <s v="TX502100"/>
    <x v="10"/>
    <x v="3"/>
    <n v="43.3"/>
    <x v="1591"/>
    <x v="77"/>
    <d v="2025-03-20T00:00:00"/>
    <x v="1"/>
    <x v="2"/>
    <x v="0"/>
    <x v="0"/>
    <x v="21"/>
    <x v="3"/>
    <x v="11"/>
    <x v="1"/>
  </r>
  <r>
    <s v="TX502101"/>
    <x v="10"/>
    <x v="12"/>
    <n v="57.5"/>
    <x v="984"/>
    <x v="77"/>
    <d v="2025-03-20T00:00:00"/>
    <x v="2"/>
    <x v="1"/>
    <x v="2"/>
    <x v="0"/>
    <x v="1"/>
    <x v="3"/>
    <x v="11"/>
    <x v="2"/>
  </r>
  <r>
    <s v="TX502102"/>
    <x v="9"/>
    <x v="15"/>
    <n v="24.8"/>
    <x v="1592"/>
    <x v="77"/>
    <d v="2025-03-20T00:00:00"/>
    <x v="1"/>
    <x v="0"/>
    <x v="0"/>
    <x v="0"/>
    <x v="57"/>
    <x v="3"/>
    <x v="11"/>
    <x v="1"/>
  </r>
  <r>
    <s v="TX502103"/>
    <x v="2"/>
    <x v="11"/>
    <n v="85.7"/>
    <x v="1593"/>
    <x v="77"/>
    <d v="2025-03-20T00:00:00"/>
    <x v="2"/>
    <x v="0"/>
    <x v="0"/>
    <x v="0"/>
    <x v="42"/>
    <x v="3"/>
    <x v="11"/>
    <x v="2"/>
  </r>
  <r>
    <s v="TX502104"/>
    <x v="7"/>
    <x v="0"/>
    <n v="47.1"/>
    <x v="392"/>
    <x v="77"/>
    <d v="2025-03-21T00:00:00"/>
    <x v="2"/>
    <x v="0"/>
    <x v="0"/>
    <x v="0"/>
    <x v="2"/>
    <x v="1"/>
    <x v="11"/>
    <x v="2"/>
  </r>
  <r>
    <s v="TX502105"/>
    <x v="5"/>
    <x v="7"/>
    <n v="83.2"/>
    <x v="1594"/>
    <x v="77"/>
    <d v="2025-03-23T00:00:00"/>
    <x v="2"/>
    <x v="0"/>
    <x v="0"/>
    <x v="0"/>
    <x v="33"/>
    <x v="5"/>
    <x v="11"/>
    <x v="2"/>
  </r>
  <r>
    <s v="TX502106"/>
    <x v="2"/>
    <x v="2"/>
    <n v="157"/>
    <x v="1595"/>
    <x v="77"/>
    <d v="2025-03-21T00:00:00"/>
    <x v="2"/>
    <x v="0"/>
    <x v="2"/>
    <x v="0"/>
    <x v="22"/>
    <x v="1"/>
    <x v="11"/>
    <x v="2"/>
  </r>
  <r>
    <s v="TX502107"/>
    <x v="16"/>
    <x v="12"/>
    <n v="33.700000000000003"/>
    <x v="1093"/>
    <x v="77"/>
    <d v="2025-03-20T00:00:00"/>
    <x v="1"/>
    <x v="2"/>
    <x v="2"/>
    <x v="0"/>
    <x v="22"/>
    <x v="3"/>
    <x v="11"/>
    <x v="1"/>
  </r>
  <r>
    <s v="TX502108"/>
    <x v="2"/>
    <x v="2"/>
    <n v="60.8"/>
    <x v="1596"/>
    <x v="77"/>
    <d v="2025-03-23T00:00:00"/>
    <x v="2"/>
    <x v="1"/>
    <x v="1"/>
    <x v="0"/>
    <x v="3"/>
    <x v="5"/>
    <x v="11"/>
    <x v="2"/>
  </r>
  <r>
    <s v="TX502109"/>
    <x v="7"/>
    <x v="0"/>
    <n v="57.6"/>
    <x v="636"/>
    <x v="77"/>
    <d v="2025-03-20T00:00:00"/>
    <x v="1"/>
    <x v="1"/>
    <x v="4"/>
    <x v="0"/>
    <x v="3"/>
    <x v="3"/>
    <x v="11"/>
    <x v="1"/>
  </r>
  <r>
    <s v="TX502110"/>
    <x v="10"/>
    <x v="0"/>
    <n v="32"/>
    <x v="109"/>
    <x v="77"/>
    <d v="2025-03-21T00:00:00"/>
    <x v="1"/>
    <x v="0"/>
    <x v="0"/>
    <x v="0"/>
    <x v="3"/>
    <x v="1"/>
    <x v="11"/>
    <x v="1"/>
  </r>
  <r>
    <s v="TX502111"/>
    <x v="10"/>
    <x v="12"/>
    <n v="23.5"/>
    <x v="255"/>
    <x v="77"/>
    <d v="2025-03-20T00:00:00"/>
    <x v="2"/>
    <x v="0"/>
    <x v="2"/>
    <x v="0"/>
    <x v="3"/>
    <x v="3"/>
    <x v="11"/>
    <x v="2"/>
  </r>
  <r>
    <s v="TX502112"/>
    <x v="12"/>
    <x v="2"/>
    <n v="44.8"/>
    <x v="1597"/>
    <x v="77"/>
    <d v="2025-03-20T00:00:00"/>
    <x v="3"/>
    <x v="4"/>
    <x v="0"/>
    <x v="0"/>
    <x v="3"/>
    <x v="3"/>
    <x v="11"/>
    <x v="3"/>
  </r>
  <r>
    <s v="TX502113"/>
    <x v="0"/>
    <x v="8"/>
    <n v="11.7"/>
    <x v="64"/>
    <x v="77"/>
    <d v="2025-03-20T00:00:00"/>
    <x v="1"/>
    <x v="2"/>
    <x v="2"/>
    <x v="0"/>
    <x v="3"/>
    <x v="3"/>
    <x v="11"/>
    <x v="1"/>
  </r>
  <r>
    <s v="TX502114"/>
    <x v="7"/>
    <x v="1"/>
    <n v="38.799999999999997"/>
    <x v="1598"/>
    <x v="77"/>
    <d v="2025-03-22T00:00:00"/>
    <x v="2"/>
    <x v="2"/>
    <x v="0"/>
    <x v="0"/>
    <x v="3"/>
    <x v="2"/>
    <x v="11"/>
    <x v="2"/>
  </r>
  <r>
    <s v="TX502115"/>
    <x v="5"/>
    <x v="21"/>
    <n v="86.9"/>
    <x v="1599"/>
    <x v="77"/>
    <d v="2025-03-24T00:00:00"/>
    <x v="2"/>
    <x v="1"/>
    <x v="0"/>
    <x v="0"/>
    <x v="3"/>
    <x v="0"/>
    <x v="11"/>
    <x v="2"/>
  </r>
  <r>
    <s v="TX502116"/>
    <x v="8"/>
    <x v="0"/>
    <n v="18.3"/>
    <x v="1600"/>
    <x v="77"/>
    <d v="2025-03-20T00:00:00"/>
    <x v="2"/>
    <x v="0"/>
    <x v="0"/>
    <x v="0"/>
    <x v="3"/>
    <x v="3"/>
    <x v="11"/>
    <x v="2"/>
  </r>
  <r>
    <s v="TX502117"/>
    <x v="5"/>
    <x v="0"/>
    <n v="47.5"/>
    <x v="1601"/>
    <x v="77"/>
    <d v="2025-03-23T00:00:00"/>
    <x v="1"/>
    <x v="4"/>
    <x v="2"/>
    <x v="0"/>
    <x v="3"/>
    <x v="5"/>
    <x v="11"/>
    <x v="1"/>
  </r>
  <r>
    <s v="TX502118"/>
    <x v="1"/>
    <x v="1"/>
    <n v="78.599999999999994"/>
    <x v="507"/>
    <x v="77"/>
    <d v="2025-03-20T00:00:00"/>
    <x v="1"/>
    <x v="2"/>
    <x v="2"/>
    <x v="0"/>
    <x v="3"/>
    <x v="3"/>
    <x v="11"/>
    <x v="1"/>
  </r>
  <r>
    <s v="TX502119"/>
    <x v="6"/>
    <x v="12"/>
    <n v="87.3"/>
    <x v="1602"/>
    <x v="77"/>
    <d v="2025-03-20T00:00:00"/>
    <x v="1"/>
    <x v="0"/>
    <x v="0"/>
    <x v="0"/>
    <x v="3"/>
    <x v="3"/>
    <x v="11"/>
    <x v="1"/>
  </r>
  <r>
    <s v="TX502120"/>
    <x v="9"/>
    <x v="1"/>
    <n v="63.2"/>
    <x v="628"/>
    <x v="77"/>
    <d v="2025-03-19T00:00:00"/>
    <x v="1"/>
    <x v="4"/>
    <x v="1"/>
    <x v="0"/>
    <x v="3"/>
    <x v="7"/>
    <x v="11"/>
    <x v="1"/>
  </r>
  <r>
    <s v="TX502121"/>
    <x v="5"/>
    <x v="9"/>
    <n v="33.700000000000003"/>
    <x v="1603"/>
    <x v="77"/>
    <d v="2025-03-20T00:00:00"/>
    <x v="2"/>
    <x v="0"/>
    <x v="0"/>
    <x v="0"/>
    <x v="3"/>
    <x v="3"/>
    <x v="11"/>
    <x v="2"/>
  </r>
  <r>
    <s v="TX502122"/>
    <x v="2"/>
    <x v="2"/>
    <n v="107.4"/>
    <x v="1604"/>
    <x v="77"/>
    <d v="2025-04-01T00:00:00"/>
    <x v="2"/>
    <x v="1"/>
    <x v="2"/>
    <x v="0"/>
    <x v="3"/>
    <x v="10"/>
    <x v="11"/>
    <x v="2"/>
  </r>
  <r>
    <s v="TX502123"/>
    <x v="4"/>
    <x v="12"/>
    <n v="22.2"/>
    <x v="1605"/>
    <x v="77"/>
    <d v="2025-03-20T00:00:00"/>
    <x v="0"/>
    <x v="1"/>
    <x v="2"/>
    <x v="0"/>
    <x v="24"/>
    <x v="3"/>
    <x v="11"/>
    <x v="0"/>
  </r>
  <r>
    <s v="TX502124"/>
    <x v="18"/>
    <x v="2"/>
    <n v="52.8"/>
    <x v="1329"/>
    <x v="77"/>
    <d v="2025-03-20T00:00:00"/>
    <x v="1"/>
    <x v="3"/>
    <x v="2"/>
    <x v="0"/>
    <x v="24"/>
    <x v="3"/>
    <x v="11"/>
    <x v="1"/>
  </r>
  <r>
    <s v="TX502125"/>
    <x v="8"/>
    <x v="2"/>
    <n v="41.5"/>
    <x v="376"/>
    <x v="77"/>
    <d v="2025-03-22T00:00:00"/>
    <x v="2"/>
    <x v="0"/>
    <x v="0"/>
    <x v="0"/>
    <x v="25"/>
    <x v="2"/>
    <x v="11"/>
    <x v="2"/>
  </r>
  <r>
    <s v="TX502126"/>
    <x v="12"/>
    <x v="8"/>
    <n v="103.5"/>
    <x v="1606"/>
    <x v="77"/>
    <d v="2025-03-22T00:00:00"/>
    <x v="2"/>
    <x v="0"/>
    <x v="2"/>
    <x v="0"/>
    <x v="23"/>
    <x v="2"/>
    <x v="11"/>
    <x v="2"/>
  </r>
  <r>
    <s v="TX502127"/>
    <x v="4"/>
    <x v="21"/>
    <n v="37.5"/>
    <x v="1469"/>
    <x v="77"/>
    <d v="2025-03-19T00:00:00"/>
    <x v="2"/>
    <x v="1"/>
    <x v="2"/>
    <x v="0"/>
    <x v="6"/>
    <x v="7"/>
    <x v="11"/>
    <x v="2"/>
  </r>
  <r>
    <s v="TX502128"/>
    <x v="15"/>
    <x v="8"/>
    <n v="44.4"/>
    <x v="1607"/>
    <x v="77"/>
    <d v="2025-03-25T00:00:00"/>
    <x v="2"/>
    <x v="3"/>
    <x v="2"/>
    <x v="0"/>
    <x v="7"/>
    <x v="4"/>
    <x v="11"/>
    <x v="2"/>
  </r>
  <r>
    <s v="TX502129"/>
    <x v="8"/>
    <x v="2"/>
    <n v="26.2"/>
    <x v="1608"/>
    <x v="77"/>
    <d v="2025-03-20T00:00:00"/>
    <x v="1"/>
    <x v="0"/>
    <x v="0"/>
    <x v="0"/>
    <x v="8"/>
    <x v="3"/>
    <x v="11"/>
    <x v="1"/>
  </r>
  <r>
    <s v="TX502130"/>
    <x v="1"/>
    <x v="3"/>
    <n v="32.200000000000003"/>
    <x v="1009"/>
    <x v="77"/>
    <d v="2025-03-20T00:00:00"/>
    <x v="2"/>
    <x v="1"/>
    <x v="2"/>
    <x v="0"/>
    <x v="8"/>
    <x v="3"/>
    <x v="11"/>
    <x v="2"/>
  </r>
  <r>
    <s v="TX502131"/>
    <x v="8"/>
    <x v="0"/>
    <n v="17.399999999999999"/>
    <x v="1609"/>
    <x v="77"/>
    <d v="2025-03-23T00:00:00"/>
    <x v="0"/>
    <x v="2"/>
    <x v="1"/>
    <x v="0"/>
    <x v="8"/>
    <x v="5"/>
    <x v="11"/>
    <x v="0"/>
  </r>
  <r>
    <s v="TX502132"/>
    <x v="8"/>
    <x v="13"/>
    <n v="72.3"/>
    <x v="1610"/>
    <x v="77"/>
    <d v="2025-03-22T00:00:00"/>
    <x v="2"/>
    <x v="0"/>
    <x v="0"/>
    <x v="0"/>
    <x v="8"/>
    <x v="2"/>
    <x v="11"/>
    <x v="2"/>
  </r>
  <r>
    <s v="TX502133"/>
    <x v="8"/>
    <x v="5"/>
    <n v="24.3"/>
    <x v="1611"/>
    <x v="77"/>
    <d v="2025-03-20T00:00:00"/>
    <x v="1"/>
    <x v="0"/>
    <x v="0"/>
    <x v="0"/>
    <x v="8"/>
    <x v="3"/>
    <x v="11"/>
    <x v="1"/>
  </r>
  <r>
    <s v="TX502134"/>
    <x v="13"/>
    <x v="2"/>
    <n v="49.1"/>
    <x v="824"/>
    <x v="77"/>
    <d v="2025-03-25T00:00:00"/>
    <x v="1"/>
    <x v="2"/>
    <x v="4"/>
    <x v="0"/>
    <x v="8"/>
    <x v="4"/>
    <x v="11"/>
    <x v="1"/>
  </r>
  <r>
    <s v="TX502135"/>
    <x v="2"/>
    <x v="7"/>
    <n v="234.7"/>
    <x v="1612"/>
    <x v="77"/>
    <d v="2025-03-20T00:00:00"/>
    <x v="1"/>
    <x v="3"/>
    <x v="1"/>
    <x v="0"/>
    <x v="8"/>
    <x v="3"/>
    <x v="11"/>
    <x v="1"/>
  </r>
  <r>
    <s v="TX502136"/>
    <x v="3"/>
    <x v="9"/>
    <n v="76.099999999999994"/>
    <x v="1613"/>
    <x v="77"/>
    <d v="2025-03-21T00:00:00"/>
    <x v="1"/>
    <x v="1"/>
    <x v="1"/>
    <x v="0"/>
    <x v="17"/>
    <x v="1"/>
    <x v="11"/>
    <x v="1"/>
  </r>
  <r>
    <s v="TX502137"/>
    <x v="1"/>
    <x v="2"/>
    <n v="93.9"/>
    <x v="1614"/>
    <x v="77"/>
    <d v="2025-03-20T00:00:00"/>
    <x v="1"/>
    <x v="1"/>
    <x v="4"/>
    <x v="0"/>
    <x v="11"/>
    <x v="3"/>
    <x v="11"/>
    <x v="1"/>
  </r>
  <r>
    <s v="TX502138"/>
    <x v="2"/>
    <x v="12"/>
    <n v="187"/>
    <x v="1615"/>
    <x v="78"/>
    <d v="2025-03-23T00:00:00"/>
    <x v="1"/>
    <x v="0"/>
    <x v="0"/>
    <x v="0"/>
    <x v="11"/>
    <x v="2"/>
    <x v="11"/>
    <x v="1"/>
  </r>
  <r>
    <s v="TX502139"/>
    <x v="8"/>
    <x v="1"/>
    <n v="18"/>
    <x v="53"/>
    <x v="78"/>
    <d v="2025-03-21T00:00:00"/>
    <x v="2"/>
    <x v="1"/>
    <x v="2"/>
    <x v="0"/>
    <x v="53"/>
    <x v="3"/>
    <x v="11"/>
    <x v="2"/>
  </r>
  <r>
    <s v="TX502140"/>
    <x v="4"/>
    <x v="0"/>
    <n v="24.4"/>
    <x v="1616"/>
    <x v="78"/>
    <d v="2025-03-21T00:00:00"/>
    <x v="2"/>
    <x v="4"/>
    <x v="2"/>
    <x v="0"/>
    <x v="21"/>
    <x v="3"/>
    <x v="11"/>
    <x v="2"/>
  </r>
  <r>
    <s v="TX502141"/>
    <x v="10"/>
    <x v="1"/>
    <n v="38.799999999999997"/>
    <x v="1598"/>
    <x v="78"/>
    <d v="2025-03-21T00:00:00"/>
    <x v="1"/>
    <x v="4"/>
    <x v="1"/>
    <x v="0"/>
    <x v="3"/>
    <x v="3"/>
    <x v="11"/>
    <x v="1"/>
  </r>
  <r>
    <s v="TX502142"/>
    <x v="3"/>
    <x v="0"/>
    <n v="59.7"/>
    <x v="1201"/>
    <x v="78"/>
    <d v="2025-03-23T00:00:00"/>
    <x v="1"/>
    <x v="3"/>
    <x v="0"/>
    <x v="0"/>
    <x v="3"/>
    <x v="2"/>
    <x v="11"/>
    <x v="1"/>
  </r>
  <r>
    <s v="TX502143"/>
    <x v="7"/>
    <x v="0"/>
    <n v="31.2"/>
    <x v="406"/>
    <x v="78"/>
    <d v="2025-03-21T00:00:00"/>
    <x v="1"/>
    <x v="1"/>
    <x v="2"/>
    <x v="0"/>
    <x v="3"/>
    <x v="3"/>
    <x v="11"/>
    <x v="1"/>
  </r>
  <r>
    <s v="TX502144"/>
    <x v="0"/>
    <x v="0"/>
    <n v="16.8"/>
    <x v="749"/>
    <x v="78"/>
    <d v="2025-03-21T00:00:00"/>
    <x v="2"/>
    <x v="2"/>
    <x v="1"/>
    <x v="0"/>
    <x v="3"/>
    <x v="3"/>
    <x v="11"/>
    <x v="2"/>
  </r>
  <r>
    <s v="TX502145"/>
    <x v="8"/>
    <x v="0"/>
    <n v="46"/>
    <x v="716"/>
    <x v="78"/>
    <d v="2025-03-21T00:00:00"/>
    <x v="1"/>
    <x v="0"/>
    <x v="0"/>
    <x v="0"/>
    <x v="3"/>
    <x v="3"/>
    <x v="11"/>
    <x v="1"/>
  </r>
  <r>
    <s v="TX502146"/>
    <x v="9"/>
    <x v="8"/>
    <n v="42.2"/>
    <x v="1617"/>
    <x v="78"/>
    <d v="2025-03-23T00:00:00"/>
    <x v="2"/>
    <x v="3"/>
    <x v="2"/>
    <x v="0"/>
    <x v="3"/>
    <x v="2"/>
    <x v="11"/>
    <x v="2"/>
  </r>
  <r>
    <s v="TX502147"/>
    <x v="1"/>
    <x v="2"/>
    <n v="71.5"/>
    <x v="523"/>
    <x v="78"/>
    <d v="2025-04-03T00:00:00"/>
    <x v="2"/>
    <x v="0"/>
    <x v="0"/>
    <x v="0"/>
    <x v="3"/>
    <x v="12"/>
    <x v="11"/>
    <x v="2"/>
  </r>
  <r>
    <s v="TX502148"/>
    <x v="1"/>
    <x v="1"/>
    <n v="76.599999999999994"/>
    <x v="1618"/>
    <x v="78"/>
    <d v="2025-03-20T00:00:00"/>
    <x v="1"/>
    <x v="0"/>
    <x v="2"/>
    <x v="0"/>
    <x v="3"/>
    <x v="7"/>
    <x v="11"/>
    <x v="1"/>
  </r>
  <r>
    <s v="TX502149"/>
    <x v="12"/>
    <x v="1"/>
    <n v="87.3"/>
    <x v="1619"/>
    <x v="78"/>
    <d v="2025-03-28T00:00:00"/>
    <x v="2"/>
    <x v="3"/>
    <x v="2"/>
    <x v="0"/>
    <x v="3"/>
    <x v="9"/>
    <x v="11"/>
    <x v="2"/>
  </r>
  <r>
    <s v="TX502150"/>
    <x v="1"/>
    <x v="0"/>
    <n v="63"/>
    <x v="1620"/>
    <x v="78"/>
    <d v="2025-03-23T00:00:00"/>
    <x v="1"/>
    <x v="3"/>
    <x v="0"/>
    <x v="0"/>
    <x v="3"/>
    <x v="2"/>
    <x v="11"/>
    <x v="1"/>
  </r>
  <r>
    <s v="TX502151"/>
    <x v="8"/>
    <x v="1"/>
    <n v="41.7"/>
    <x v="925"/>
    <x v="78"/>
    <d v="2025-03-21T00:00:00"/>
    <x v="2"/>
    <x v="4"/>
    <x v="1"/>
    <x v="0"/>
    <x v="43"/>
    <x v="3"/>
    <x v="11"/>
    <x v="2"/>
  </r>
  <r>
    <s v="TX502152"/>
    <x v="6"/>
    <x v="1"/>
    <n v="76.099999999999994"/>
    <x v="1621"/>
    <x v="78"/>
    <d v="2025-03-20T00:00:00"/>
    <x v="2"/>
    <x v="4"/>
    <x v="2"/>
    <x v="0"/>
    <x v="16"/>
    <x v="7"/>
    <x v="11"/>
    <x v="2"/>
  </r>
  <r>
    <s v="TX502153"/>
    <x v="13"/>
    <x v="1"/>
    <n v="28.5"/>
    <x v="933"/>
    <x v="78"/>
    <d v="2025-03-21T00:00:00"/>
    <x v="2"/>
    <x v="0"/>
    <x v="2"/>
    <x v="0"/>
    <x v="4"/>
    <x v="3"/>
    <x v="11"/>
    <x v="2"/>
  </r>
  <r>
    <s v="TX502154"/>
    <x v="0"/>
    <x v="12"/>
    <n v="32.1"/>
    <x v="58"/>
    <x v="78"/>
    <d v="2025-03-21T00:00:00"/>
    <x v="2"/>
    <x v="1"/>
    <x v="2"/>
    <x v="0"/>
    <x v="25"/>
    <x v="3"/>
    <x v="11"/>
    <x v="2"/>
  </r>
  <r>
    <s v="TX502155"/>
    <x v="4"/>
    <x v="2"/>
    <n v="39"/>
    <x v="1622"/>
    <x v="78"/>
    <d v="2025-03-23T00:00:00"/>
    <x v="1"/>
    <x v="1"/>
    <x v="2"/>
    <x v="0"/>
    <x v="25"/>
    <x v="2"/>
    <x v="11"/>
    <x v="1"/>
  </r>
  <r>
    <s v="TX502156"/>
    <x v="6"/>
    <x v="0"/>
    <n v="78.5"/>
    <x v="1623"/>
    <x v="78"/>
    <d v="2025-03-21T00:00:00"/>
    <x v="1"/>
    <x v="1"/>
    <x v="0"/>
    <x v="0"/>
    <x v="6"/>
    <x v="3"/>
    <x v="11"/>
    <x v="1"/>
  </r>
  <r>
    <s v="TX502157"/>
    <x v="4"/>
    <x v="9"/>
    <n v="49.7"/>
    <x v="1624"/>
    <x v="78"/>
    <d v="2025-03-22T00:00:00"/>
    <x v="2"/>
    <x v="0"/>
    <x v="0"/>
    <x v="0"/>
    <x v="6"/>
    <x v="1"/>
    <x v="11"/>
    <x v="2"/>
  </r>
  <r>
    <s v="TX502158"/>
    <x v="1"/>
    <x v="12"/>
    <n v="68.400000000000006"/>
    <x v="1625"/>
    <x v="78"/>
    <d v="2025-03-21T00:00:00"/>
    <x v="2"/>
    <x v="2"/>
    <x v="2"/>
    <x v="0"/>
    <x v="7"/>
    <x v="3"/>
    <x v="11"/>
    <x v="2"/>
  </r>
  <r>
    <s v="TX502159"/>
    <x v="3"/>
    <x v="1"/>
    <n v="72.900000000000006"/>
    <x v="1626"/>
    <x v="78"/>
    <d v="2025-03-23T00:00:00"/>
    <x v="0"/>
    <x v="0"/>
    <x v="2"/>
    <x v="0"/>
    <x v="7"/>
    <x v="2"/>
    <x v="11"/>
    <x v="0"/>
  </r>
  <r>
    <s v="TX502160"/>
    <x v="5"/>
    <x v="15"/>
    <n v="30.3"/>
    <x v="1627"/>
    <x v="78"/>
    <d v="2025-03-21T00:00:00"/>
    <x v="1"/>
    <x v="4"/>
    <x v="0"/>
    <x v="0"/>
    <x v="7"/>
    <x v="3"/>
    <x v="11"/>
    <x v="1"/>
  </r>
  <r>
    <s v="TX502161"/>
    <x v="6"/>
    <x v="5"/>
    <n v="57.9"/>
    <x v="1628"/>
    <x v="78"/>
    <d v="2025-03-21T00:00:00"/>
    <x v="2"/>
    <x v="0"/>
    <x v="0"/>
    <x v="0"/>
    <x v="8"/>
    <x v="3"/>
    <x v="11"/>
    <x v="2"/>
  </r>
  <r>
    <s v="TX502162"/>
    <x v="1"/>
    <x v="0"/>
    <n v="96.7"/>
    <x v="1629"/>
    <x v="78"/>
    <d v="2025-03-21T00:00:00"/>
    <x v="1"/>
    <x v="0"/>
    <x v="0"/>
    <x v="0"/>
    <x v="8"/>
    <x v="3"/>
    <x v="11"/>
    <x v="1"/>
  </r>
  <r>
    <s v="TX502163"/>
    <x v="8"/>
    <x v="4"/>
    <n v="27.6"/>
    <x v="1630"/>
    <x v="78"/>
    <d v="2025-03-22T00:00:00"/>
    <x v="1"/>
    <x v="2"/>
    <x v="2"/>
    <x v="0"/>
    <x v="8"/>
    <x v="1"/>
    <x v="11"/>
    <x v="1"/>
  </r>
  <r>
    <s v="TX502164"/>
    <x v="6"/>
    <x v="12"/>
    <n v="64.7"/>
    <x v="536"/>
    <x v="78"/>
    <d v="2025-03-20T00:00:00"/>
    <x v="1"/>
    <x v="3"/>
    <x v="2"/>
    <x v="0"/>
    <x v="8"/>
    <x v="7"/>
    <x v="11"/>
    <x v="1"/>
  </r>
  <r>
    <s v="TX502165"/>
    <x v="10"/>
    <x v="13"/>
    <n v="30.5"/>
    <x v="1143"/>
    <x v="78"/>
    <d v="2025-03-21T00:00:00"/>
    <x v="1"/>
    <x v="4"/>
    <x v="0"/>
    <x v="0"/>
    <x v="8"/>
    <x v="3"/>
    <x v="11"/>
    <x v="1"/>
  </r>
  <r>
    <s v="TX502166"/>
    <x v="6"/>
    <x v="47"/>
    <n v="106"/>
    <x v="1631"/>
    <x v="79"/>
    <d v="2025-03-23T00:00:00"/>
    <x v="1"/>
    <x v="4"/>
    <x v="2"/>
    <x v="0"/>
    <x v="8"/>
    <x v="1"/>
    <x v="11"/>
    <x v="1"/>
  </r>
  <r>
    <s v="TX502167"/>
    <x v="12"/>
    <x v="9"/>
    <n v="76.8"/>
    <x v="1632"/>
    <x v="79"/>
    <d v="2025-03-27T00:00:00"/>
    <x v="0"/>
    <x v="1"/>
    <x v="1"/>
    <x v="0"/>
    <x v="18"/>
    <x v="4"/>
    <x v="11"/>
    <x v="0"/>
  </r>
  <r>
    <s v="TX502168"/>
    <x v="6"/>
    <x v="1"/>
    <n v="80.400000000000006"/>
    <x v="1530"/>
    <x v="79"/>
    <d v="2025-03-22T00:00:00"/>
    <x v="2"/>
    <x v="2"/>
    <x v="0"/>
    <x v="0"/>
    <x v="13"/>
    <x v="3"/>
    <x v="11"/>
    <x v="2"/>
  </r>
  <r>
    <s v="TX502169"/>
    <x v="6"/>
    <x v="12"/>
    <n v="69.099999999999994"/>
    <x v="1633"/>
    <x v="79"/>
    <d v="2025-03-22T00:00:00"/>
    <x v="1"/>
    <x v="1"/>
    <x v="2"/>
    <x v="0"/>
    <x v="21"/>
    <x v="3"/>
    <x v="11"/>
    <x v="1"/>
  </r>
  <r>
    <s v="TX502170"/>
    <x v="18"/>
    <x v="1"/>
    <n v="76.400000000000006"/>
    <x v="1634"/>
    <x v="79"/>
    <d v="2025-03-21T00:00:00"/>
    <x v="1"/>
    <x v="3"/>
    <x v="0"/>
    <x v="0"/>
    <x v="21"/>
    <x v="7"/>
    <x v="11"/>
    <x v="1"/>
  </r>
  <r>
    <s v="TX502171"/>
    <x v="2"/>
    <x v="1"/>
    <n v="61.3"/>
    <x v="384"/>
    <x v="79"/>
    <d v="2025-03-22T00:00:00"/>
    <x v="2"/>
    <x v="1"/>
    <x v="1"/>
    <x v="0"/>
    <x v="21"/>
    <x v="3"/>
    <x v="11"/>
    <x v="2"/>
  </r>
  <r>
    <s v="TX502172"/>
    <x v="7"/>
    <x v="0"/>
    <n v="58"/>
    <x v="1635"/>
    <x v="79"/>
    <d v="2025-03-22T00:00:00"/>
    <x v="1"/>
    <x v="3"/>
    <x v="1"/>
    <x v="0"/>
    <x v="1"/>
    <x v="3"/>
    <x v="11"/>
    <x v="1"/>
  </r>
  <r>
    <s v="TX502173"/>
    <x v="2"/>
    <x v="8"/>
    <n v="102.3"/>
    <x v="1636"/>
    <x v="79"/>
    <d v="2025-03-23T00:00:00"/>
    <x v="1"/>
    <x v="2"/>
    <x v="0"/>
    <x v="0"/>
    <x v="42"/>
    <x v="1"/>
    <x v="11"/>
    <x v="1"/>
  </r>
  <r>
    <s v="TX502174"/>
    <x v="19"/>
    <x v="1"/>
    <n v="13.8"/>
    <x v="1637"/>
    <x v="79"/>
    <d v="2025-03-22T00:00:00"/>
    <x v="2"/>
    <x v="4"/>
    <x v="2"/>
    <x v="0"/>
    <x v="2"/>
    <x v="3"/>
    <x v="11"/>
    <x v="2"/>
  </r>
  <r>
    <s v="TX502175"/>
    <x v="8"/>
    <x v="2"/>
    <n v="33.299999999999997"/>
    <x v="1638"/>
    <x v="79"/>
    <d v="2025-03-24T00:00:00"/>
    <x v="2"/>
    <x v="2"/>
    <x v="0"/>
    <x v="0"/>
    <x v="22"/>
    <x v="2"/>
    <x v="11"/>
    <x v="2"/>
  </r>
  <r>
    <s v="TX502176"/>
    <x v="10"/>
    <x v="0"/>
    <n v="27.4"/>
    <x v="1639"/>
    <x v="79"/>
    <d v="2025-03-24T00:00:00"/>
    <x v="1"/>
    <x v="0"/>
    <x v="2"/>
    <x v="0"/>
    <x v="22"/>
    <x v="2"/>
    <x v="11"/>
    <x v="1"/>
  </r>
  <r>
    <s v="TX502177"/>
    <x v="14"/>
    <x v="1"/>
    <n v="25.6"/>
    <x v="180"/>
    <x v="79"/>
    <d v="2025-03-22T00:00:00"/>
    <x v="2"/>
    <x v="1"/>
    <x v="1"/>
    <x v="0"/>
    <x v="3"/>
    <x v="3"/>
    <x v="11"/>
    <x v="2"/>
  </r>
  <r>
    <s v="TX502178"/>
    <x v="13"/>
    <x v="0"/>
    <n v="58.4"/>
    <x v="305"/>
    <x v="79"/>
    <d v="2025-03-22T00:00:00"/>
    <x v="2"/>
    <x v="2"/>
    <x v="2"/>
    <x v="0"/>
    <x v="3"/>
    <x v="3"/>
    <x v="11"/>
    <x v="2"/>
  </r>
  <r>
    <s v="TX502179"/>
    <x v="11"/>
    <x v="17"/>
    <n v="27"/>
    <x v="906"/>
    <x v="79"/>
    <d v="2025-03-22T00:00:00"/>
    <x v="2"/>
    <x v="4"/>
    <x v="0"/>
    <x v="0"/>
    <x v="3"/>
    <x v="3"/>
    <x v="11"/>
    <x v="2"/>
  </r>
  <r>
    <s v="TX502180"/>
    <x v="0"/>
    <x v="12"/>
    <n v="14.2"/>
    <x v="1640"/>
    <x v="79"/>
    <d v="2025-03-22T00:00:00"/>
    <x v="1"/>
    <x v="0"/>
    <x v="2"/>
    <x v="0"/>
    <x v="3"/>
    <x v="3"/>
    <x v="11"/>
    <x v="1"/>
  </r>
  <r>
    <s v="TX502181"/>
    <x v="7"/>
    <x v="1"/>
    <n v="68"/>
    <x v="1641"/>
    <x v="79"/>
    <d v="2025-03-31T00:00:00"/>
    <x v="1"/>
    <x v="2"/>
    <x v="1"/>
    <x v="0"/>
    <x v="3"/>
    <x v="14"/>
    <x v="11"/>
    <x v="1"/>
  </r>
  <r>
    <s v="TX502182"/>
    <x v="8"/>
    <x v="0"/>
    <n v="30.7"/>
    <x v="1642"/>
    <x v="79"/>
    <d v="2025-03-22T00:00:00"/>
    <x v="1"/>
    <x v="0"/>
    <x v="0"/>
    <x v="0"/>
    <x v="3"/>
    <x v="3"/>
    <x v="11"/>
    <x v="1"/>
  </r>
  <r>
    <s v="TX502183"/>
    <x v="17"/>
    <x v="15"/>
    <n v="51.6"/>
    <x v="1643"/>
    <x v="79"/>
    <d v="2025-03-24T00:00:00"/>
    <x v="3"/>
    <x v="1"/>
    <x v="2"/>
    <x v="0"/>
    <x v="3"/>
    <x v="2"/>
    <x v="11"/>
    <x v="3"/>
  </r>
  <r>
    <s v="TX502184"/>
    <x v="8"/>
    <x v="2"/>
    <n v="20.6"/>
    <x v="957"/>
    <x v="79"/>
    <d v="2025-03-25T00:00:00"/>
    <x v="2"/>
    <x v="4"/>
    <x v="2"/>
    <x v="0"/>
    <x v="3"/>
    <x v="5"/>
    <x v="11"/>
    <x v="2"/>
  </r>
  <r>
    <s v="TX502185"/>
    <x v="8"/>
    <x v="0"/>
    <n v="24.8"/>
    <x v="1644"/>
    <x v="79"/>
    <d v="2025-03-22T00:00:00"/>
    <x v="1"/>
    <x v="4"/>
    <x v="0"/>
    <x v="0"/>
    <x v="3"/>
    <x v="3"/>
    <x v="11"/>
    <x v="1"/>
  </r>
  <r>
    <s v="TX502186"/>
    <x v="0"/>
    <x v="3"/>
    <n v="11.2"/>
    <x v="1645"/>
    <x v="79"/>
    <d v="2025-03-24T00:00:00"/>
    <x v="1"/>
    <x v="1"/>
    <x v="0"/>
    <x v="0"/>
    <x v="3"/>
    <x v="2"/>
    <x v="11"/>
    <x v="1"/>
  </r>
  <r>
    <s v="TX502187"/>
    <x v="11"/>
    <x v="1"/>
    <n v="51.2"/>
    <x v="298"/>
    <x v="79"/>
    <d v="2025-03-22T00:00:00"/>
    <x v="2"/>
    <x v="1"/>
    <x v="2"/>
    <x v="0"/>
    <x v="3"/>
    <x v="3"/>
    <x v="11"/>
    <x v="2"/>
  </r>
  <r>
    <s v="TX502188"/>
    <x v="7"/>
    <x v="13"/>
    <n v="90.5"/>
    <x v="1646"/>
    <x v="79"/>
    <d v="2025-03-22T00:00:00"/>
    <x v="2"/>
    <x v="1"/>
    <x v="4"/>
    <x v="0"/>
    <x v="3"/>
    <x v="3"/>
    <x v="11"/>
    <x v="2"/>
  </r>
  <r>
    <s v="TX502189"/>
    <x v="1"/>
    <x v="1"/>
    <n v="42.4"/>
    <x v="1647"/>
    <x v="79"/>
    <d v="2025-03-22T00:00:00"/>
    <x v="1"/>
    <x v="1"/>
    <x v="2"/>
    <x v="0"/>
    <x v="4"/>
    <x v="3"/>
    <x v="11"/>
    <x v="1"/>
  </r>
  <r>
    <s v="TX502190"/>
    <x v="1"/>
    <x v="1"/>
    <n v="38.200000000000003"/>
    <x v="1648"/>
    <x v="79"/>
    <d v="2025-03-22T00:00:00"/>
    <x v="1"/>
    <x v="0"/>
    <x v="0"/>
    <x v="0"/>
    <x v="5"/>
    <x v="3"/>
    <x v="11"/>
    <x v="1"/>
  </r>
  <r>
    <s v="TX502191"/>
    <x v="2"/>
    <x v="11"/>
    <n v="121.3"/>
    <x v="1649"/>
    <x v="79"/>
    <d v="2025-03-26T00:00:00"/>
    <x v="1"/>
    <x v="0"/>
    <x v="0"/>
    <x v="0"/>
    <x v="6"/>
    <x v="0"/>
    <x v="11"/>
    <x v="1"/>
  </r>
  <r>
    <s v="TX502192"/>
    <x v="6"/>
    <x v="1"/>
    <n v="46.9"/>
    <x v="1650"/>
    <x v="79"/>
    <d v="2025-03-28T00:00:00"/>
    <x v="1"/>
    <x v="0"/>
    <x v="0"/>
    <x v="0"/>
    <x v="8"/>
    <x v="6"/>
    <x v="11"/>
    <x v="1"/>
  </r>
  <r>
    <s v="TX502193"/>
    <x v="10"/>
    <x v="0"/>
    <n v="55.3"/>
    <x v="6"/>
    <x v="79"/>
    <d v="2025-03-23T00:00:00"/>
    <x v="1"/>
    <x v="0"/>
    <x v="0"/>
    <x v="0"/>
    <x v="8"/>
    <x v="1"/>
    <x v="11"/>
    <x v="1"/>
  </r>
  <r>
    <s v="TX502194"/>
    <x v="2"/>
    <x v="2"/>
    <n v="70.599999999999994"/>
    <x v="1651"/>
    <x v="80"/>
    <d v="2025-03-22T00:00:00"/>
    <x v="2"/>
    <x v="0"/>
    <x v="1"/>
    <x v="0"/>
    <x v="8"/>
    <x v="7"/>
    <x v="11"/>
    <x v="2"/>
  </r>
  <r>
    <s v="TX502195"/>
    <x v="14"/>
    <x v="12"/>
    <n v="26.1"/>
    <x v="1652"/>
    <x v="80"/>
    <d v="2025-03-24T00:00:00"/>
    <x v="1"/>
    <x v="0"/>
    <x v="0"/>
    <x v="0"/>
    <x v="8"/>
    <x v="1"/>
    <x v="11"/>
    <x v="1"/>
  </r>
  <r>
    <s v="TX502196"/>
    <x v="9"/>
    <x v="5"/>
    <n v="34.5"/>
    <x v="1653"/>
    <x v="80"/>
    <d v="2025-03-26T00:00:00"/>
    <x v="1"/>
    <x v="2"/>
    <x v="0"/>
    <x v="0"/>
    <x v="17"/>
    <x v="5"/>
    <x v="11"/>
    <x v="1"/>
  </r>
  <r>
    <s v="TX502197"/>
    <x v="1"/>
    <x v="1"/>
    <n v="64.2"/>
    <x v="58"/>
    <x v="80"/>
    <d v="2025-03-23T00:00:00"/>
    <x v="2"/>
    <x v="0"/>
    <x v="1"/>
    <x v="0"/>
    <x v="17"/>
    <x v="3"/>
    <x v="11"/>
    <x v="2"/>
  </r>
  <r>
    <s v="TX502198"/>
    <x v="2"/>
    <x v="12"/>
    <n v="145.69999999999999"/>
    <x v="1654"/>
    <x v="80"/>
    <d v="2025-03-23T00:00:00"/>
    <x v="2"/>
    <x v="0"/>
    <x v="4"/>
    <x v="0"/>
    <x v="17"/>
    <x v="3"/>
    <x v="11"/>
    <x v="2"/>
  </r>
  <r>
    <s v="TX502199"/>
    <x v="12"/>
    <x v="1"/>
    <n v="78.5"/>
    <x v="1655"/>
    <x v="80"/>
    <d v="2025-03-23T00:00:00"/>
    <x v="1"/>
    <x v="2"/>
    <x v="0"/>
    <x v="0"/>
    <x v="26"/>
    <x v="3"/>
    <x v="11"/>
    <x v="1"/>
  </r>
  <r>
    <s v="TX502200"/>
    <x v="1"/>
    <x v="0"/>
    <n v="34.200000000000003"/>
    <x v="1656"/>
    <x v="80"/>
    <d v="2025-03-24T00:00:00"/>
    <x v="1"/>
    <x v="0"/>
    <x v="0"/>
    <x v="0"/>
    <x v="9"/>
    <x v="1"/>
    <x v="11"/>
    <x v="1"/>
  </r>
  <r>
    <s v="TX502201"/>
    <x v="19"/>
    <x v="0"/>
    <n v="26.2"/>
    <x v="1102"/>
    <x v="80"/>
    <d v="2025-03-23T00:00:00"/>
    <x v="1"/>
    <x v="2"/>
    <x v="0"/>
    <x v="0"/>
    <x v="9"/>
    <x v="3"/>
    <x v="11"/>
    <x v="1"/>
  </r>
  <r>
    <s v="TX502202"/>
    <x v="6"/>
    <x v="12"/>
    <n v="53.2"/>
    <x v="1547"/>
    <x v="80"/>
    <d v="2025-03-23T00:00:00"/>
    <x v="1"/>
    <x v="1"/>
    <x v="1"/>
    <x v="0"/>
    <x v="11"/>
    <x v="3"/>
    <x v="11"/>
    <x v="1"/>
  </r>
  <r>
    <s v="TX502203"/>
    <x v="1"/>
    <x v="0"/>
    <n v="35.4"/>
    <x v="1657"/>
    <x v="80"/>
    <d v="2025-03-26T00:00:00"/>
    <x v="1"/>
    <x v="1"/>
    <x v="4"/>
    <x v="0"/>
    <x v="18"/>
    <x v="5"/>
    <x v="11"/>
    <x v="1"/>
  </r>
  <r>
    <s v="TX502204"/>
    <x v="14"/>
    <x v="1"/>
    <n v="21.3"/>
    <x v="440"/>
    <x v="80"/>
    <d v="2025-03-23T00:00:00"/>
    <x v="1"/>
    <x v="2"/>
    <x v="0"/>
    <x v="0"/>
    <x v="20"/>
    <x v="3"/>
    <x v="11"/>
    <x v="1"/>
  </r>
  <r>
    <s v="TX502205"/>
    <x v="8"/>
    <x v="12"/>
    <n v="32.9"/>
    <x v="1423"/>
    <x v="80"/>
    <d v="2025-03-25T00:00:00"/>
    <x v="2"/>
    <x v="4"/>
    <x v="2"/>
    <x v="0"/>
    <x v="21"/>
    <x v="2"/>
    <x v="11"/>
    <x v="2"/>
  </r>
  <r>
    <s v="TX502206"/>
    <x v="5"/>
    <x v="20"/>
    <n v="85.5"/>
    <x v="1658"/>
    <x v="80"/>
    <d v="2025-03-24T00:00:00"/>
    <x v="2"/>
    <x v="3"/>
    <x v="1"/>
    <x v="0"/>
    <x v="21"/>
    <x v="1"/>
    <x v="11"/>
    <x v="2"/>
  </r>
  <r>
    <s v="TX502207"/>
    <x v="4"/>
    <x v="0"/>
    <n v="26.8"/>
    <x v="63"/>
    <x v="80"/>
    <d v="2025-03-23T00:00:00"/>
    <x v="2"/>
    <x v="0"/>
    <x v="1"/>
    <x v="0"/>
    <x v="2"/>
    <x v="3"/>
    <x v="11"/>
    <x v="2"/>
  </r>
  <r>
    <s v="TX502208"/>
    <x v="9"/>
    <x v="18"/>
    <n v="31.7"/>
    <x v="1659"/>
    <x v="80"/>
    <d v="2025-03-22T00:00:00"/>
    <x v="2"/>
    <x v="3"/>
    <x v="0"/>
    <x v="0"/>
    <x v="2"/>
    <x v="7"/>
    <x v="11"/>
    <x v="2"/>
  </r>
  <r>
    <s v="TX502209"/>
    <x v="1"/>
    <x v="1"/>
    <n v="78.3"/>
    <x v="1660"/>
    <x v="80"/>
    <d v="2025-03-24T00:00:00"/>
    <x v="2"/>
    <x v="1"/>
    <x v="1"/>
    <x v="0"/>
    <x v="3"/>
    <x v="1"/>
    <x v="11"/>
    <x v="2"/>
  </r>
  <r>
    <s v="TX502210"/>
    <x v="6"/>
    <x v="0"/>
    <n v="43.9"/>
    <x v="1661"/>
    <x v="80"/>
    <d v="2025-03-23T00:00:00"/>
    <x v="1"/>
    <x v="0"/>
    <x v="0"/>
    <x v="0"/>
    <x v="3"/>
    <x v="3"/>
    <x v="11"/>
    <x v="1"/>
  </r>
  <r>
    <s v="TX502211"/>
    <x v="18"/>
    <x v="2"/>
    <n v="84"/>
    <x v="816"/>
    <x v="80"/>
    <d v="2025-03-24T00:00:00"/>
    <x v="0"/>
    <x v="3"/>
    <x v="2"/>
    <x v="0"/>
    <x v="3"/>
    <x v="1"/>
    <x v="11"/>
    <x v="0"/>
  </r>
  <r>
    <s v="TX502212"/>
    <x v="0"/>
    <x v="2"/>
    <n v="11.4"/>
    <x v="1656"/>
    <x v="80"/>
    <d v="2025-03-23T00:00:00"/>
    <x v="1"/>
    <x v="4"/>
    <x v="0"/>
    <x v="0"/>
    <x v="3"/>
    <x v="3"/>
    <x v="11"/>
    <x v="1"/>
  </r>
  <r>
    <s v="TX502213"/>
    <x v="12"/>
    <x v="8"/>
    <n v="47.5"/>
    <x v="1662"/>
    <x v="80"/>
    <d v="2025-03-30T00:00:00"/>
    <x v="2"/>
    <x v="0"/>
    <x v="0"/>
    <x v="0"/>
    <x v="3"/>
    <x v="9"/>
    <x v="11"/>
    <x v="2"/>
  </r>
  <r>
    <s v="TX502214"/>
    <x v="9"/>
    <x v="5"/>
    <n v="50.5"/>
    <x v="1663"/>
    <x v="80"/>
    <d v="2025-03-24T00:00:00"/>
    <x v="1"/>
    <x v="2"/>
    <x v="0"/>
    <x v="0"/>
    <x v="3"/>
    <x v="1"/>
    <x v="11"/>
    <x v="1"/>
  </r>
  <r>
    <s v="TX502215"/>
    <x v="15"/>
    <x v="0"/>
    <n v="36.299999999999997"/>
    <x v="1277"/>
    <x v="80"/>
    <d v="2025-03-25T00:00:00"/>
    <x v="3"/>
    <x v="0"/>
    <x v="1"/>
    <x v="0"/>
    <x v="8"/>
    <x v="2"/>
    <x v="11"/>
    <x v="3"/>
  </r>
  <r>
    <s v="TX502216"/>
    <x v="8"/>
    <x v="1"/>
    <n v="35.4"/>
    <x v="1664"/>
    <x v="80"/>
    <d v="2025-03-23T00:00:00"/>
    <x v="2"/>
    <x v="0"/>
    <x v="0"/>
    <x v="0"/>
    <x v="17"/>
    <x v="3"/>
    <x v="11"/>
    <x v="2"/>
  </r>
  <r>
    <s v="TX502217"/>
    <x v="1"/>
    <x v="2"/>
    <n v="45.9"/>
    <x v="223"/>
    <x v="81"/>
    <d v="2025-03-24T00:00:00"/>
    <x v="1"/>
    <x v="3"/>
    <x v="0"/>
    <x v="0"/>
    <x v="9"/>
    <x v="3"/>
    <x v="12"/>
    <x v="1"/>
  </r>
  <r>
    <s v="TX502218"/>
    <x v="6"/>
    <x v="7"/>
    <n v="41.2"/>
    <x v="1665"/>
    <x v="81"/>
    <d v="2025-03-27T00:00:00"/>
    <x v="1"/>
    <x v="0"/>
    <x v="0"/>
    <x v="0"/>
    <x v="11"/>
    <x v="5"/>
    <x v="12"/>
    <x v="1"/>
  </r>
  <r>
    <s v="TX502219"/>
    <x v="17"/>
    <x v="1"/>
    <n v="45.1"/>
    <x v="244"/>
    <x v="81"/>
    <d v="2025-03-24T00:00:00"/>
    <x v="1"/>
    <x v="1"/>
    <x v="1"/>
    <x v="0"/>
    <x v="21"/>
    <x v="3"/>
    <x v="12"/>
    <x v="1"/>
  </r>
  <r>
    <s v="TX502220"/>
    <x v="6"/>
    <x v="7"/>
    <n v="63.6"/>
    <x v="1666"/>
    <x v="81"/>
    <d v="2025-03-23T00:00:00"/>
    <x v="1"/>
    <x v="2"/>
    <x v="0"/>
    <x v="0"/>
    <x v="1"/>
    <x v="7"/>
    <x v="12"/>
    <x v="1"/>
  </r>
  <r>
    <s v="TX502221"/>
    <x v="8"/>
    <x v="0"/>
    <n v="70.5"/>
    <x v="1012"/>
    <x v="81"/>
    <d v="2025-03-24T00:00:00"/>
    <x v="1"/>
    <x v="0"/>
    <x v="0"/>
    <x v="0"/>
    <x v="3"/>
    <x v="3"/>
    <x v="12"/>
    <x v="1"/>
  </r>
  <r>
    <s v="TX502222"/>
    <x v="6"/>
    <x v="0"/>
    <n v="41.3"/>
    <x v="1667"/>
    <x v="81"/>
    <d v="2025-03-23T00:00:00"/>
    <x v="1"/>
    <x v="4"/>
    <x v="0"/>
    <x v="0"/>
    <x v="3"/>
    <x v="7"/>
    <x v="12"/>
    <x v="1"/>
  </r>
  <r>
    <s v="TX502223"/>
    <x v="4"/>
    <x v="0"/>
    <n v="35.299999999999997"/>
    <x v="1668"/>
    <x v="81"/>
    <d v="2025-03-26T00:00:00"/>
    <x v="2"/>
    <x v="4"/>
    <x v="2"/>
    <x v="0"/>
    <x v="3"/>
    <x v="2"/>
    <x v="12"/>
    <x v="2"/>
  </r>
  <r>
    <s v="TX502224"/>
    <x v="8"/>
    <x v="9"/>
    <n v="34.700000000000003"/>
    <x v="1669"/>
    <x v="81"/>
    <d v="2025-03-24T00:00:00"/>
    <x v="2"/>
    <x v="0"/>
    <x v="2"/>
    <x v="0"/>
    <x v="3"/>
    <x v="3"/>
    <x v="12"/>
    <x v="2"/>
  </r>
  <r>
    <s v="TX502225"/>
    <x v="8"/>
    <x v="2"/>
    <n v="26.1"/>
    <x v="1670"/>
    <x v="81"/>
    <d v="2025-03-24T00:00:00"/>
    <x v="2"/>
    <x v="0"/>
    <x v="0"/>
    <x v="0"/>
    <x v="3"/>
    <x v="3"/>
    <x v="12"/>
    <x v="2"/>
  </r>
  <r>
    <s v="TX502226"/>
    <x v="9"/>
    <x v="9"/>
    <n v="22.6"/>
    <x v="548"/>
    <x v="81"/>
    <d v="2025-03-23T00:00:00"/>
    <x v="2"/>
    <x v="1"/>
    <x v="2"/>
    <x v="0"/>
    <x v="3"/>
    <x v="7"/>
    <x v="12"/>
    <x v="2"/>
  </r>
  <r>
    <s v="TX502227"/>
    <x v="2"/>
    <x v="1"/>
    <n v="154.4"/>
    <x v="1671"/>
    <x v="81"/>
    <d v="2025-03-26T00:00:00"/>
    <x v="1"/>
    <x v="1"/>
    <x v="1"/>
    <x v="0"/>
    <x v="3"/>
    <x v="2"/>
    <x v="12"/>
    <x v="1"/>
  </r>
  <r>
    <s v="TX502228"/>
    <x v="8"/>
    <x v="1"/>
    <n v="18.399999999999999"/>
    <x v="791"/>
    <x v="81"/>
    <d v="2025-03-24T00:00:00"/>
    <x v="1"/>
    <x v="0"/>
    <x v="0"/>
    <x v="0"/>
    <x v="3"/>
    <x v="3"/>
    <x v="12"/>
    <x v="1"/>
  </r>
  <r>
    <s v="TX502229"/>
    <x v="14"/>
    <x v="0"/>
    <n v="25"/>
    <x v="1672"/>
    <x v="81"/>
    <d v="2025-03-26T00:00:00"/>
    <x v="2"/>
    <x v="0"/>
    <x v="0"/>
    <x v="0"/>
    <x v="3"/>
    <x v="2"/>
    <x v="12"/>
    <x v="2"/>
  </r>
  <r>
    <s v="TX502230"/>
    <x v="2"/>
    <x v="13"/>
    <n v="105.6"/>
    <x v="1673"/>
    <x v="81"/>
    <d v="2025-03-23T00:00:00"/>
    <x v="2"/>
    <x v="0"/>
    <x v="0"/>
    <x v="0"/>
    <x v="3"/>
    <x v="7"/>
    <x v="12"/>
    <x v="2"/>
  </r>
  <r>
    <s v="TX502231"/>
    <x v="18"/>
    <x v="8"/>
    <n v="59.6"/>
    <x v="1674"/>
    <x v="81"/>
    <d v="2025-03-23T00:00:00"/>
    <x v="2"/>
    <x v="0"/>
    <x v="2"/>
    <x v="0"/>
    <x v="23"/>
    <x v="7"/>
    <x v="12"/>
    <x v="2"/>
  </r>
  <r>
    <s v="TX502232"/>
    <x v="15"/>
    <x v="2"/>
    <n v="75.400000000000006"/>
    <x v="1675"/>
    <x v="81"/>
    <d v="2025-03-28T00:00:00"/>
    <x v="1"/>
    <x v="0"/>
    <x v="1"/>
    <x v="0"/>
    <x v="7"/>
    <x v="0"/>
    <x v="12"/>
    <x v="1"/>
  </r>
  <r>
    <s v="TX502233"/>
    <x v="7"/>
    <x v="0"/>
    <n v="104.4"/>
    <x v="1652"/>
    <x v="81"/>
    <d v="2025-03-24T00:00:00"/>
    <x v="2"/>
    <x v="0"/>
    <x v="0"/>
    <x v="0"/>
    <x v="8"/>
    <x v="3"/>
    <x v="12"/>
    <x v="2"/>
  </r>
  <r>
    <s v="TX502234"/>
    <x v="2"/>
    <x v="7"/>
    <n v="208.2"/>
    <x v="1676"/>
    <x v="81"/>
    <d v="2025-03-24T00:00:00"/>
    <x v="1"/>
    <x v="0"/>
    <x v="2"/>
    <x v="0"/>
    <x v="8"/>
    <x v="3"/>
    <x v="12"/>
    <x v="1"/>
  </r>
  <r>
    <s v="TX502235"/>
    <x v="6"/>
    <x v="1"/>
    <n v="45"/>
    <x v="645"/>
    <x v="81"/>
    <d v="2025-03-26T00:00:00"/>
    <x v="2"/>
    <x v="0"/>
    <x v="0"/>
    <x v="0"/>
    <x v="10"/>
    <x v="2"/>
    <x v="12"/>
    <x v="2"/>
  </r>
  <r>
    <s v="TX502236"/>
    <x v="15"/>
    <x v="1"/>
    <n v="20.3"/>
    <x v="1352"/>
    <x v="82"/>
    <d v="2025-03-26T00:00:00"/>
    <x v="0"/>
    <x v="1"/>
    <x v="0"/>
    <x v="0"/>
    <x v="11"/>
    <x v="1"/>
    <x v="12"/>
    <x v="0"/>
  </r>
  <r>
    <s v="TX502237"/>
    <x v="2"/>
    <x v="2"/>
    <n v="94.4"/>
    <x v="1677"/>
    <x v="82"/>
    <d v="2025-03-25T00:00:00"/>
    <x v="2"/>
    <x v="0"/>
    <x v="2"/>
    <x v="0"/>
    <x v="11"/>
    <x v="3"/>
    <x v="12"/>
    <x v="2"/>
  </r>
  <r>
    <s v="TX502238"/>
    <x v="9"/>
    <x v="0"/>
    <n v="49"/>
    <x v="268"/>
    <x v="82"/>
    <d v="2025-03-26T00:00:00"/>
    <x v="2"/>
    <x v="0"/>
    <x v="2"/>
    <x v="0"/>
    <x v="20"/>
    <x v="1"/>
    <x v="12"/>
    <x v="2"/>
  </r>
  <r>
    <s v="TX502239"/>
    <x v="4"/>
    <x v="1"/>
    <n v="27.2"/>
    <x v="630"/>
    <x v="82"/>
    <d v="2025-03-26T00:00:00"/>
    <x v="1"/>
    <x v="0"/>
    <x v="2"/>
    <x v="0"/>
    <x v="1"/>
    <x v="1"/>
    <x v="12"/>
    <x v="1"/>
  </r>
  <r>
    <s v="TX502240"/>
    <x v="2"/>
    <x v="13"/>
    <n v="72.599999999999994"/>
    <x v="349"/>
    <x v="82"/>
    <d v="2025-03-25T00:00:00"/>
    <x v="2"/>
    <x v="0"/>
    <x v="2"/>
    <x v="0"/>
    <x v="2"/>
    <x v="3"/>
    <x v="12"/>
    <x v="2"/>
  </r>
  <r>
    <s v="TX502241"/>
    <x v="15"/>
    <x v="12"/>
    <n v="62.4"/>
    <x v="1267"/>
    <x v="82"/>
    <d v="2025-03-25T00:00:00"/>
    <x v="2"/>
    <x v="0"/>
    <x v="0"/>
    <x v="0"/>
    <x v="3"/>
    <x v="3"/>
    <x v="12"/>
    <x v="2"/>
  </r>
  <r>
    <s v="TX502242"/>
    <x v="8"/>
    <x v="2"/>
    <n v="19.100000000000001"/>
    <x v="1281"/>
    <x v="82"/>
    <d v="2025-03-26T00:00:00"/>
    <x v="1"/>
    <x v="0"/>
    <x v="1"/>
    <x v="0"/>
    <x v="3"/>
    <x v="1"/>
    <x v="12"/>
    <x v="1"/>
  </r>
  <r>
    <s v="TX502243"/>
    <x v="10"/>
    <x v="0"/>
    <n v="29.6"/>
    <x v="1678"/>
    <x v="82"/>
    <d v="2025-03-28T00:00:00"/>
    <x v="1"/>
    <x v="0"/>
    <x v="4"/>
    <x v="0"/>
    <x v="3"/>
    <x v="5"/>
    <x v="12"/>
    <x v="1"/>
  </r>
  <r>
    <s v="TX502244"/>
    <x v="8"/>
    <x v="1"/>
    <n v="18.899999999999999"/>
    <x v="463"/>
    <x v="82"/>
    <d v="2025-03-26T00:00:00"/>
    <x v="2"/>
    <x v="4"/>
    <x v="2"/>
    <x v="0"/>
    <x v="3"/>
    <x v="1"/>
    <x v="12"/>
    <x v="2"/>
  </r>
  <r>
    <s v="TX502245"/>
    <x v="10"/>
    <x v="9"/>
    <n v="41.4"/>
    <x v="461"/>
    <x v="82"/>
    <d v="2025-03-25T00:00:00"/>
    <x v="1"/>
    <x v="3"/>
    <x v="0"/>
    <x v="0"/>
    <x v="3"/>
    <x v="3"/>
    <x v="12"/>
    <x v="1"/>
  </r>
  <r>
    <s v="TX502246"/>
    <x v="2"/>
    <x v="0"/>
    <n v="118.4"/>
    <x v="1250"/>
    <x v="82"/>
    <d v="2025-03-25T00:00:00"/>
    <x v="2"/>
    <x v="0"/>
    <x v="2"/>
    <x v="0"/>
    <x v="3"/>
    <x v="3"/>
    <x v="12"/>
    <x v="2"/>
  </r>
  <r>
    <s v="TX502247"/>
    <x v="2"/>
    <x v="1"/>
    <n v="125.3"/>
    <x v="1679"/>
    <x v="82"/>
    <d v="2025-03-27T00:00:00"/>
    <x v="2"/>
    <x v="0"/>
    <x v="2"/>
    <x v="0"/>
    <x v="3"/>
    <x v="2"/>
    <x v="12"/>
    <x v="2"/>
  </r>
  <r>
    <s v="TX502248"/>
    <x v="3"/>
    <x v="1"/>
    <n v="85.8"/>
    <x v="1512"/>
    <x v="82"/>
    <d v="2025-03-25T00:00:00"/>
    <x v="2"/>
    <x v="1"/>
    <x v="4"/>
    <x v="0"/>
    <x v="3"/>
    <x v="3"/>
    <x v="12"/>
    <x v="2"/>
  </r>
  <r>
    <s v="TX502249"/>
    <x v="6"/>
    <x v="0"/>
    <n v="44.2"/>
    <x v="573"/>
    <x v="82"/>
    <d v="2025-03-27T00:00:00"/>
    <x v="1"/>
    <x v="1"/>
    <x v="0"/>
    <x v="0"/>
    <x v="3"/>
    <x v="2"/>
    <x v="12"/>
    <x v="1"/>
  </r>
  <r>
    <s v="TX502250"/>
    <x v="5"/>
    <x v="12"/>
    <n v="74.099999999999994"/>
    <x v="764"/>
    <x v="82"/>
    <d v="2025-03-26T00:00:00"/>
    <x v="2"/>
    <x v="0"/>
    <x v="0"/>
    <x v="0"/>
    <x v="3"/>
    <x v="1"/>
    <x v="12"/>
    <x v="2"/>
  </r>
  <r>
    <s v="TX502251"/>
    <x v="8"/>
    <x v="0"/>
    <n v="33.799999999999997"/>
    <x v="1680"/>
    <x v="82"/>
    <d v="2025-03-25T00:00:00"/>
    <x v="2"/>
    <x v="2"/>
    <x v="2"/>
    <x v="0"/>
    <x v="24"/>
    <x v="3"/>
    <x v="12"/>
    <x v="2"/>
  </r>
  <r>
    <s v="TX502252"/>
    <x v="1"/>
    <x v="1"/>
    <n v="39.1"/>
    <x v="1148"/>
    <x v="82"/>
    <d v="2025-03-25T00:00:00"/>
    <x v="1"/>
    <x v="0"/>
    <x v="1"/>
    <x v="0"/>
    <x v="24"/>
    <x v="3"/>
    <x v="12"/>
    <x v="1"/>
  </r>
  <r>
    <s v="TX502253"/>
    <x v="0"/>
    <x v="0"/>
    <n v="37.200000000000003"/>
    <x v="804"/>
    <x v="82"/>
    <d v="2025-03-25T00:00:00"/>
    <x v="1"/>
    <x v="0"/>
    <x v="1"/>
    <x v="0"/>
    <x v="16"/>
    <x v="3"/>
    <x v="12"/>
    <x v="1"/>
  </r>
  <r>
    <s v="TX502254"/>
    <x v="15"/>
    <x v="2"/>
    <n v="33.9"/>
    <x v="1681"/>
    <x v="82"/>
    <d v="2025-03-26T00:00:00"/>
    <x v="1"/>
    <x v="2"/>
    <x v="0"/>
    <x v="0"/>
    <x v="6"/>
    <x v="1"/>
    <x v="12"/>
    <x v="1"/>
  </r>
  <r>
    <s v="TX502255"/>
    <x v="7"/>
    <x v="20"/>
    <n v="73.3"/>
    <x v="1682"/>
    <x v="82"/>
    <d v="2025-03-27T00:00:00"/>
    <x v="2"/>
    <x v="2"/>
    <x v="1"/>
    <x v="0"/>
    <x v="8"/>
    <x v="2"/>
    <x v="12"/>
    <x v="2"/>
  </r>
  <r>
    <s v="TX502256"/>
    <x v="8"/>
    <x v="12"/>
    <n v="35"/>
    <x v="1683"/>
    <x v="82"/>
    <d v="2025-03-26T00:00:00"/>
    <x v="2"/>
    <x v="1"/>
    <x v="0"/>
    <x v="0"/>
    <x v="8"/>
    <x v="1"/>
    <x v="12"/>
    <x v="2"/>
  </r>
  <r>
    <s v="TX502257"/>
    <x v="0"/>
    <x v="2"/>
    <n v="22.2"/>
    <x v="815"/>
    <x v="82"/>
    <d v="2025-03-25T00:00:00"/>
    <x v="1"/>
    <x v="1"/>
    <x v="0"/>
    <x v="0"/>
    <x v="17"/>
    <x v="3"/>
    <x v="12"/>
    <x v="1"/>
  </r>
  <r>
    <s v="TX502258"/>
    <x v="10"/>
    <x v="0"/>
    <n v="32.4"/>
    <x v="1684"/>
    <x v="82"/>
    <d v="2025-03-25T00:00:00"/>
    <x v="2"/>
    <x v="0"/>
    <x v="0"/>
    <x v="0"/>
    <x v="11"/>
    <x v="3"/>
    <x v="12"/>
    <x v="2"/>
  </r>
  <r>
    <s v="TX502259"/>
    <x v="5"/>
    <x v="2"/>
    <n v="88.4"/>
    <x v="1685"/>
    <x v="83"/>
    <d v="2025-03-27T00:00:00"/>
    <x v="2"/>
    <x v="1"/>
    <x v="1"/>
    <x v="0"/>
    <x v="11"/>
    <x v="1"/>
    <x v="12"/>
    <x v="2"/>
  </r>
  <r>
    <s v="TX502260"/>
    <x v="5"/>
    <x v="27"/>
    <n v="30.5"/>
    <x v="865"/>
    <x v="83"/>
    <d v="2025-03-26T00:00:00"/>
    <x v="2"/>
    <x v="2"/>
    <x v="0"/>
    <x v="0"/>
    <x v="11"/>
    <x v="3"/>
    <x v="12"/>
    <x v="2"/>
  </r>
  <r>
    <s v="TX502261"/>
    <x v="1"/>
    <x v="13"/>
    <n v="38.1"/>
    <x v="1686"/>
    <x v="83"/>
    <d v="2025-03-27T00:00:00"/>
    <x v="2"/>
    <x v="0"/>
    <x v="1"/>
    <x v="0"/>
    <x v="11"/>
    <x v="1"/>
    <x v="12"/>
    <x v="2"/>
  </r>
  <r>
    <s v="TX502262"/>
    <x v="10"/>
    <x v="9"/>
    <n v="37.6"/>
    <x v="885"/>
    <x v="83"/>
    <d v="2025-03-29T00:00:00"/>
    <x v="1"/>
    <x v="0"/>
    <x v="0"/>
    <x v="0"/>
    <x v="11"/>
    <x v="5"/>
    <x v="12"/>
    <x v="1"/>
  </r>
  <r>
    <s v="TX502263"/>
    <x v="15"/>
    <x v="1"/>
    <n v="31.4"/>
    <x v="143"/>
    <x v="83"/>
    <d v="2025-03-26T00:00:00"/>
    <x v="1"/>
    <x v="0"/>
    <x v="2"/>
    <x v="0"/>
    <x v="11"/>
    <x v="3"/>
    <x v="12"/>
    <x v="1"/>
  </r>
  <r>
    <s v="TX502264"/>
    <x v="6"/>
    <x v="1"/>
    <n v="61.5"/>
    <x v="1287"/>
    <x v="83"/>
    <d v="2025-03-26T00:00:00"/>
    <x v="1"/>
    <x v="3"/>
    <x v="0"/>
    <x v="0"/>
    <x v="31"/>
    <x v="3"/>
    <x v="12"/>
    <x v="1"/>
  </r>
  <r>
    <s v="TX502265"/>
    <x v="6"/>
    <x v="0"/>
    <n v="72.599999999999994"/>
    <x v="1325"/>
    <x v="83"/>
    <d v="2025-03-26T00:00:00"/>
    <x v="1"/>
    <x v="0"/>
    <x v="1"/>
    <x v="0"/>
    <x v="21"/>
    <x v="3"/>
    <x v="12"/>
    <x v="1"/>
  </r>
  <r>
    <s v="TX502266"/>
    <x v="9"/>
    <x v="2"/>
    <n v="26.9"/>
    <x v="1687"/>
    <x v="83"/>
    <d v="2025-03-30T00:00:00"/>
    <x v="3"/>
    <x v="4"/>
    <x v="1"/>
    <x v="0"/>
    <x v="46"/>
    <x v="0"/>
    <x v="12"/>
    <x v="3"/>
  </r>
  <r>
    <s v="TX502267"/>
    <x v="17"/>
    <x v="4"/>
    <n v="29.4"/>
    <x v="1688"/>
    <x v="83"/>
    <d v="2025-03-26T00:00:00"/>
    <x v="2"/>
    <x v="1"/>
    <x v="0"/>
    <x v="0"/>
    <x v="51"/>
    <x v="3"/>
    <x v="12"/>
    <x v="2"/>
  </r>
  <r>
    <s v="TX502268"/>
    <x v="17"/>
    <x v="1"/>
    <n v="42.1"/>
    <x v="903"/>
    <x v="83"/>
    <d v="2025-03-26T00:00:00"/>
    <x v="2"/>
    <x v="3"/>
    <x v="1"/>
    <x v="0"/>
    <x v="1"/>
    <x v="3"/>
    <x v="12"/>
    <x v="2"/>
  </r>
  <r>
    <s v="TX502269"/>
    <x v="5"/>
    <x v="0"/>
    <n v="40.5"/>
    <x v="1117"/>
    <x v="83"/>
    <d v="2025-03-26T00:00:00"/>
    <x v="2"/>
    <x v="2"/>
    <x v="1"/>
    <x v="0"/>
    <x v="1"/>
    <x v="3"/>
    <x v="12"/>
    <x v="2"/>
  </r>
  <r>
    <s v="TX502270"/>
    <x v="2"/>
    <x v="12"/>
    <n v="182.3"/>
    <x v="1689"/>
    <x v="83"/>
    <d v="2025-03-26T00:00:00"/>
    <x v="2"/>
    <x v="1"/>
    <x v="0"/>
    <x v="0"/>
    <x v="1"/>
    <x v="3"/>
    <x v="12"/>
    <x v="2"/>
  </r>
  <r>
    <s v="TX502271"/>
    <x v="2"/>
    <x v="9"/>
    <n v="157"/>
    <x v="1690"/>
    <x v="83"/>
    <d v="2025-03-28T00:00:00"/>
    <x v="2"/>
    <x v="1"/>
    <x v="2"/>
    <x v="0"/>
    <x v="2"/>
    <x v="2"/>
    <x v="12"/>
    <x v="2"/>
  </r>
  <r>
    <s v="TX502272"/>
    <x v="17"/>
    <x v="9"/>
    <n v="45.2"/>
    <x v="326"/>
    <x v="83"/>
    <d v="2025-03-28T00:00:00"/>
    <x v="2"/>
    <x v="1"/>
    <x v="0"/>
    <x v="0"/>
    <x v="22"/>
    <x v="2"/>
    <x v="12"/>
    <x v="2"/>
  </r>
  <r>
    <s v="TX502273"/>
    <x v="15"/>
    <x v="12"/>
    <n v="27.4"/>
    <x v="1239"/>
    <x v="83"/>
    <d v="2025-03-27T00:00:00"/>
    <x v="2"/>
    <x v="0"/>
    <x v="0"/>
    <x v="0"/>
    <x v="3"/>
    <x v="1"/>
    <x v="12"/>
    <x v="2"/>
  </r>
  <r>
    <s v="TX502274"/>
    <x v="5"/>
    <x v="9"/>
    <n v="34.1"/>
    <x v="1691"/>
    <x v="83"/>
    <d v="2025-03-27T00:00:00"/>
    <x v="1"/>
    <x v="0"/>
    <x v="2"/>
    <x v="0"/>
    <x v="3"/>
    <x v="1"/>
    <x v="12"/>
    <x v="1"/>
  </r>
  <r>
    <s v="TX502275"/>
    <x v="0"/>
    <x v="1"/>
    <n v="26"/>
    <x v="1692"/>
    <x v="83"/>
    <d v="2025-03-27T00:00:00"/>
    <x v="1"/>
    <x v="2"/>
    <x v="1"/>
    <x v="0"/>
    <x v="3"/>
    <x v="1"/>
    <x v="12"/>
    <x v="1"/>
  </r>
  <r>
    <s v="TX502276"/>
    <x v="8"/>
    <x v="3"/>
    <n v="19.399999999999999"/>
    <x v="1693"/>
    <x v="83"/>
    <d v="2025-03-27T00:00:00"/>
    <x v="0"/>
    <x v="1"/>
    <x v="1"/>
    <x v="0"/>
    <x v="3"/>
    <x v="1"/>
    <x v="12"/>
    <x v="0"/>
  </r>
  <r>
    <s v="TX502277"/>
    <x v="16"/>
    <x v="2"/>
    <n v="30.3"/>
    <x v="407"/>
    <x v="83"/>
    <d v="2025-03-28T00:00:00"/>
    <x v="2"/>
    <x v="1"/>
    <x v="2"/>
    <x v="0"/>
    <x v="3"/>
    <x v="2"/>
    <x v="12"/>
    <x v="2"/>
  </r>
  <r>
    <s v="TX502278"/>
    <x v="2"/>
    <x v="2"/>
    <n v="101.4"/>
    <x v="1694"/>
    <x v="83"/>
    <d v="2025-03-26T00:00:00"/>
    <x v="1"/>
    <x v="0"/>
    <x v="0"/>
    <x v="0"/>
    <x v="3"/>
    <x v="3"/>
    <x v="12"/>
    <x v="1"/>
  </r>
  <r>
    <s v="TX502279"/>
    <x v="3"/>
    <x v="9"/>
    <n v="55.5"/>
    <x v="819"/>
    <x v="83"/>
    <d v="2025-03-28T00:00:00"/>
    <x v="1"/>
    <x v="1"/>
    <x v="0"/>
    <x v="0"/>
    <x v="24"/>
    <x v="2"/>
    <x v="12"/>
    <x v="1"/>
  </r>
  <r>
    <s v="TX502280"/>
    <x v="8"/>
    <x v="0"/>
    <n v="23.1"/>
    <x v="1695"/>
    <x v="83"/>
    <d v="2025-03-26T00:00:00"/>
    <x v="1"/>
    <x v="0"/>
    <x v="0"/>
    <x v="0"/>
    <x v="25"/>
    <x v="3"/>
    <x v="12"/>
    <x v="1"/>
  </r>
  <r>
    <s v="TX502281"/>
    <x v="18"/>
    <x v="1"/>
    <n v="38.9"/>
    <x v="482"/>
    <x v="83"/>
    <d v="2025-03-26T00:00:00"/>
    <x v="1"/>
    <x v="2"/>
    <x v="0"/>
    <x v="0"/>
    <x v="25"/>
    <x v="3"/>
    <x v="12"/>
    <x v="1"/>
  </r>
  <r>
    <s v="TX502282"/>
    <x v="6"/>
    <x v="11"/>
    <n v="116.3"/>
    <x v="1696"/>
    <x v="83"/>
    <d v="2025-03-29T00:00:00"/>
    <x v="2"/>
    <x v="0"/>
    <x v="0"/>
    <x v="0"/>
    <x v="5"/>
    <x v="5"/>
    <x v="12"/>
    <x v="2"/>
  </r>
  <r>
    <s v="TX502283"/>
    <x v="16"/>
    <x v="11"/>
    <n v="64.099999999999994"/>
    <x v="1697"/>
    <x v="83"/>
    <d v="2025-03-25T00:00:00"/>
    <x v="2"/>
    <x v="0"/>
    <x v="2"/>
    <x v="0"/>
    <x v="6"/>
    <x v="7"/>
    <x v="12"/>
    <x v="2"/>
  </r>
  <r>
    <s v="TX502284"/>
    <x v="2"/>
    <x v="13"/>
    <n v="109.2"/>
    <x v="1698"/>
    <x v="83"/>
    <d v="2025-03-27T00:00:00"/>
    <x v="1"/>
    <x v="0"/>
    <x v="1"/>
    <x v="0"/>
    <x v="8"/>
    <x v="1"/>
    <x v="12"/>
    <x v="1"/>
  </r>
  <r>
    <s v="TX502285"/>
    <x v="10"/>
    <x v="9"/>
    <n v="23.2"/>
    <x v="1699"/>
    <x v="84"/>
    <d v="2025-03-27T00:00:00"/>
    <x v="1"/>
    <x v="0"/>
    <x v="1"/>
    <x v="0"/>
    <x v="8"/>
    <x v="3"/>
    <x v="12"/>
    <x v="1"/>
  </r>
  <r>
    <s v="TX502286"/>
    <x v="18"/>
    <x v="13"/>
    <n v="81.2"/>
    <x v="1700"/>
    <x v="84"/>
    <d v="2025-03-28T00:00:00"/>
    <x v="1"/>
    <x v="2"/>
    <x v="2"/>
    <x v="0"/>
    <x v="8"/>
    <x v="1"/>
    <x v="12"/>
    <x v="1"/>
  </r>
  <r>
    <s v="TX502287"/>
    <x v="1"/>
    <x v="21"/>
    <n v="35.700000000000003"/>
    <x v="1701"/>
    <x v="84"/>
    <d v="2025-03-27T00:00:00"/>
    <x v="1"/>
    <x v="3"/>
    <x v="0"/>
    <x v="0"/>
    <x v="8"/>
    <x v="3"/>
    <x v="12"/>
    <x v="1"/>
  </r>
  <r>
    <s v="TX502288"/>
    <x v="7"/>
    <x v="1"/>
    <n v="44.5"/>
    <x v="1702"/>
    <x v="84"/>
    <d v="2025-03-29T00:00:00"/>
    <x v="1"/>
    <x v="4"/>
    <x v="0"/>
    <x v="0"/>
    <x v="9"/>
    <x v="2"/>
    <x v="12"/>
    <x v="1"/>
  </r>
  <r>
    <s v="TX502289"/>
    <x v="1"/>
    <x v="9"/>
    <n v="32"/>
    <x v="444"/>
    <x v="84"/>
    <d v="2025-03-28T00:00:00"/>
    <x v="3"/>
    <x v="1"/>
    <x v="1"/>
    <x v="0"/>
    <x v="9"/>
    <x v="1"/>
    <x v="12"/>
    <x v="3"/>
  </r>
  <r>
    <s v="TX502290"/>
    <x v="8"/>
    <x v="0"/>
    <n v="25.7"/>
    <x v="1703"/>
    <x v="84"/>
    <d v="2025-03-27T00:00:00"/>
    <x v="1"/>
    <x v="0"/>
    <x v="0"/>
    <x v="0"/>
    <x v="10"/>
    <x v="3"/>
    <x v="12"/>
    <x v="1"/>
  </r>
  <r>
    <s v="TX502291"/>
    <x v="16"/>
    <x v="2"/>
    <n v="65.599999999999994"/>
    <x v="487"/>
    <x v="84"/>
    <d v="2025-04-01T00:00:00"/>
    <x v="1"/>
    <x v="0"/>
    <x v="0"/>
    <x v="0"/>
    <x v="11"/>
    <x v="4"/>
    <x v="12"/>
    <x v="1"/>
  </r>
  <r>
    <s v="TX502292"/>
    <x v="1"/>
    <x v="12"/>
    <n v="52.1"/>
    <x v="1704"/>
    <x v="84"/>
    <d v="2025-03-27T00:00:00"/>
    <x v="2"/>
    <x v="0"/>
    <x v="2"/>
    <x v="0"/>
    <x v="11"/>
    <x v="3"/>
    <x v="12"/>
    <x v="2"/>
  </r>
  <r>
    <s v="TX502293"/>
    <x v="8"/>
    <x v="0"/>
    <n v="31"/>
    <x v="1705"/>
    <x v="84"/>
    <d v="2025-03-27T00:00:00"/>
    <x v="1"/>
    <x v="0"/>
    <x v="1"/>
    <x v="0"/>
    <x v="19"/>
    <x v="3"/>
    <x v="12"/>
    <x v="1"/>
  </r>
  <r>
    <s v="TX502294"/>
    <x v="8"/>
    <x v="0"/>
    <n v="32"/>
    <x v="109"/>
    <x v="84"/>
    <d v="2025-03-28T00:00:00"/>
    <x v="3"/>
    <x v="3"/>
    <x v="1"/>
    <x v="0"/>
    <x v="31"/>
    <x v="1"/>
    <x v="12"/>
    <x v="3"/>
  </r>
  <r>
    <s v="TX502295"/>
    <x v="16"/>
    <x v="12"/>
    <n v="58.3"/>
    <x v="1706"/>
    <x v="84"/>
    <d v="2025-03-30T00:00:00"/>
    <x v="1"/>
    <x v="1"/>
    <x v="4"/>
    <x v="0"/>
    <x v="20"/>
    <x v="5"/>
    <x v="12"/>
    <x v="1"/>
  </r>
  <r>
    <s v="TX502296"/>
    <x v="8"/>
    <x v="2"/>
    <n v="31"/>
    <x v="1707"/>
    <x v="84"/>
    <d v="2025-03-28T00:00:00"/>
    <x v="2"/>
    <x v="2"/>
    <x v="4"/>
    <x v="0"/>
    <x v="13"/>
    <x v="1"/>
    <x v="12"/>
    <x v="2"/>
  </r>
  <r>
    <s v="TX502297"/>
    <x v="3"/>
    <x v="0"/>
    <n v="40.299999999999997"/>
    <x v="518"/>
    <x v="84"/>
    <d v="2025-03-27T00:00:00"/>
    <x v="1"/>
    <x v="1"/>
    <x v="2"/>
    <x v="0"/>
    <x v="54"/>
    <x v="3"/>
    <x v="12"/>
    <x v="1"/>
  </r>
  <r>
    <s v="TX502298"/>
    <x v="6"/>
    <x v="2"/>
    <n v="47.3"/>
    <x v="1708"/>
    <x v="84"/>
    <d v="2025-03-28T00:00:00"/>
    <x v="1"/>
    <x v="4"/>
    <x v="2"/>
    <x v="0"/>
    <x v="2"/>
    <x v="1"/>
    <x v="12"/>
    <x v="1"/>
  </r>
  <r>
    <s v="TX502299"/>
    <x v="2"/>
    <x v="0"/>
    <n v="82.8"/>
    <x v="1182"/>
    <x v="84"/>
    <d v="2025-03-27T00:00:00"/>
    <x v="1"/>
    <x v="0"/>
    <x v="0"/>
    <x v="0"/>
    <x v="2"/>
    <x v="3"/>
    <x v="12"/>
    <x v="1"/>
  </r>
  <r>
    <s v="TX502300"/>
    <x v="8"/>
    <x v="0"/>
    <n v="18.5"/>
    <x v="1709"/>
    <x v="84"/>
    <d v="2025-04-09T00:00:00"/>
    <x v="2"/>
    <x v="0"/>
    <x v="0"/>
    <x v="0"/>
    <x v="44"/>
    <x v="12"/>
    <x v="12"/>
    <x v="2"/>
  </r>
  <r>
    <s v="TX502301"/>
    <x v="3"/>
    <x v="1"/>
    <n v="60.4"/>
    <x v="1710"/>
    <x v="84"/>
    <d v="2025-03-27T00:00:00"/>
    <x v="1"/>
    <x v="2"/>
    <x v="0"/>
    <x v="0"/>
    <x v="22"/>
    <x v="3"/>
    <x v="12"/>
    <x v="1"/>
  </r>
  <r>
    <s v="TX502302"/>
    <x v="6"/>
    <x v="9"/>
    <n v="80.2"/>
    <x v="1711"/>
    <x v="84"/>
    <d v="2025-04-02T00:00:00"/>
    <x v="1"/>
    <x v="1"/>
    <x v="1"/>
    <x v="0"/>
    <x v="50"/>
    <x v="6"/>
    <x v="12"/>
    <x v="1"/>
  </r>
  <r>
    <s v="TX502303"/>
    <x v="4"/>
    <x v="0"/>
    <n v="41.5"/>
    <x v="1712"/>
    <x v="84"/>
    <d v="2025-03-28T00:00:00"/>
    <x v="1"/>
    <x v="2"/>
    <x v="0"/>
    <x v="0"/>
    <x v="3"/>
    <x v="1"/>
    <x v="12"/>
    <x v="1"/>
  </r>
  <r>
    <s v="TX502304"/>
    <x v="2"/>
    <x v="1"/>
    <n v="83.9"/>
    <x v="1713"/>
    <x v="84"/>
    <d v="2025-03-29T00:00:00"/>
    <x v="2"/>
    <x v="0"/>
    <x v="0"/>
    <x v="0"/>
    <x v="3"/>
    <x v="2"/>
    <x v="12"/>
    <x v="2"/>
  </r>
  <r>
    <s v="TX502305"/>
    <x v="8"/>
    <x v="1"/>
    <n v="16.7"/>
    <x v="1417"/>
    <x v="84"/>
    <d v="2025-03-30T00:00:00"/>
    <x v="2"/>
    <x v="0"/>
    <x v="1"/>
    <x v="0"/>
    <x v="3"/>
    <x v="5"/>
    <x v="12"/>
    <x v="2"/>
  </r>
  <r>
    <s v="TX502306"/>
    <x v="9"/>
    <x v="1"/>
    <n v="72.900000000000006"/>
    <x v="1626"/>
    <x v="84"/>
    <d v="2025-03-27T00:00:00"/>
    <x v="1"/>
    <x v="2"/>
    <x v="1"/>
    <x v="0"/>
    <x v="3"/>
    <x v="3"/>
    <x v="12"/>
    <x v="1"/>
  </r>
  <r>
    <s v="TX502307"/>
    <x v="5"/>
    <x v="1"/>
    <n v="50.2"/>
    <x v="862"/>
    <x v="84"/>
    <d v="2025-03-28T00:00:00"/>
    <x v="2"/>
    <x v="1"/>
    <x v="2"/>
    <x v="0"/>
    <x v="3"/>
    <x v="1"/>
    <x v="12"/>
    <x v="2"/>
  </r>
  <r>
    <s v="TX502308"/>
    <x v="3"/>
    <x v="1"/>
    <n v="34.200000000000003"/>
    <x v="1714"/>
    <x v="84"/>
    <d v="2025-04-05T00:00:00"/>
    <x v="0"/>
    <x v="1"/>
    <x v="0"/>
    <x v="0"/>
    <x v="3"/>
    <x v="14"/>
    <x v="12"/>
    <x v="0"/>
  </r>
  <r>
    <s v="TX502309"/>
    <x v="5"/>
    <x v="1"/>
    <n v="107.9"/>
    <x v="1715"/>
    <x v="84"/>
    <d v="2025-03-26T00:00:00"/>
    <x v="1"/>
    <x v="1"/>
    <x v="4"/>
    <x v="0"/>
    <x v="3"/>
    <x v="7"/>
    <x v="12"/>
    <x v="1"/>
  </r>
  <r>
    <s v="TX502310"/>
    <x v="0"/>
    <x v="2"/>
    <n v="17.5"/>
    <x v="413"/>
    <x v="84"/>
    <d v="2025-03-28T00:00:00"/>
    <x v="1"/>
    <x v="4"/>
    <x v="0"/>
    <x v="0"/>
    <x v="3"/>
    <x v="1"/>
    <x v="12"/>
    <x v="1"/>
  </r>
  <r>
    <s v="TX502311"/>
    <x v="13"/>
    <x v="20"/>
    <n v="44.7"/>
    <x v="1716"/>
    <x v="84"/>
    <d v="2025-03-27T00:00:00"/>
    <x v="1"/>
    <x v="0"/>
    <x v="1"/>
    <x v="0"/>
    <x v="3"/>
    <x v="3"/>
    <x v="12"/>
    <x v="1"/>
  </r>
  <r>
    <s v="TX502312"/>
    <x v="12"/>
    <x v="13"/>
    <n v="92.7"/>
    <x v="1717"/>
    <x v="84"/>
    <d v="2025-03-28T00:00:00"/>
    <x v="2"/>
    <x v="2"/>
    <x v="1"/>
    <x v="0"/>
    <x v="3"/>
    <x v="1"/>
    <x v="12"/>
    <x v="2"/>
  </r>
  <r>
    <s v="TX502313"/>
    <x v="7"/>
    <x v="2"/>
    <n v="48.8"/>
    <x v="1718"/>
    <x v="84"/>
    <d v="2025-03-28T00:00:00"/>
    <x v="2"/>
    <x v="2"/>
    <x v="0"/>
    <x v="0"/>
    <x v="3"/>
    <x v="1"/>
    <x v="12"/>
    <x v="2"/>
  </r>
  <r>
    <s v="TX502314"/>
    <x v="4"/>
    <x v="27"/>
    <n v="21.3"/>
    <x v="1153"/>
    <x v="84"/>
    <d v="2025-03-30T00:00:00"/>
    <x v="2"/>
    <x v="3"/>
    <x v="3"/>
    <x v="0"/>
    <x v="3"/>
    <x v="5"/>
    <x v="12"/>
    <x v="2"/>
  </r>
  <r>
    <s v="TX502315"/>
    <x v="16"/>
    <x v="0"/>
    <n v="52.5"/>
    <x v="413"/>
    <x v="84"/>
    <d v="2025-03-27T00:00:00"/>
    <x v="2"/>
    <x v="0"/>
    <x v="0"/>
    <x v="0"/>
    <x v="3"/>
    <x v="3"/>
    <x v="12"/>
    <x v="2"/>
  </r>
  <r>
    <s v="TX502316"/>
    <x v="1"/>
    <x v="1"/>
    <n v="92.4"/>
    <x v="827"/>
    <x v="84"/>
    <d v="2025-04-01T00:00:00"/>
    <x v="2"/>
    <x v="0"/>
    <x v="2"/>
    <x v="0"/>
    <x v="3"/>
    <x v="4"/>
    <x v="12"/>
    <x v="2"/>
  </r>
  <r>
    <s v="TX502317"/>
    <x v="4"/>
    <x v="5"/>
    <n v="58.3"/>
    <x v="1719"/>
    <x v="84"/>
    <d v="2025-03-28T00:00:00"/>
    <x v="1"/>
    <x v="1"/>
    <x v="2"/>
    <x v="0"/>
    <x v="3"/>
    <x v="1"/>
    <x v="12"/>
    <x v="1"/>
  </r>
  <r>
    <s v="TX502318"/>
    <x v="6"/>
    <x v="44"/>
    <n v="152.6"/>
    <x v="1720"/>
    <x v="85"/>
    <d v="2025-03-29T00:00:00"/>
    <x v="0"/>
    <x v="0"/>
    <x v="0"/>
    <x v="0"/>
    <x v="3"/>
    <x v="1"/>
    <x v="12"/>
    <x v="0"/>
  </r>
  <r>
    <s v="TX502319"/>
    <x v="8"/>
    <x v="1"/>
    <n v="26"/>
    <x v="1692"/>
    <x v="85"/>
    <d v="2025-03-27T00:00:00"/>
    <x v="0"/>
    <x v="0"/>
    <x v="1"/>
    <x v="0"/>
    <x v="3"/>
    <x v="7"/>
    <x v="12"/>
    <x v="0"/>
  </r>
  <r>
    <s v="TX502320"/>
    <x v="1"/>
    <x v="12"/>
    <n v="33.1"/>
    <x v="979"/>
    <x v="85"/>
    <d v="2025-03-27T00:00:00"/>
    <x v="1"/>
    <x v="2"/>
    <x v="4"/>
    <x v="0"/>
    <x v="5"/>
    <x v="7"/>
    <x v="12"/>
    <x v="1"/>
  </r>
  <r>
    <s v="TX502321"/>
    <x v="18"/>
    <x v="0"/>
    <n v="51.4"/>
    <x v="1045"/>
    <x v="85"/>
    <d v="2025-03-29T00:00:00"/>
    <x v="2"/>
    <x v="1"/>
    <x v="1"/>
    <x v="0"/>
    <x v="5"/>
    <x v="1"/>
    <x v="12"/>
    <x v="2"/>
  </r>
  <r>
    <s v="TX502322"/>
    <x v="8"/>
    <x v="1"/>
    <n v="30.2"/>
    <x v="266"/>
    <x v="85"/>
    <d v="2025-03-28T00:00:00"/>
    <x v="2"/>
    <x v="2"/>
    <x v="2"/>
    <x v="0"/>
    <x v="6"/>
    <x v="3"/>
    <x v="12"/>
    <x v="2"/>
  </r>
  <r>
    <s v="TX502323"/>
    <x v="2"/>
    <x v="13"/>
    <n v="97"/>
    <x v="1544"/>
    <x v="85"/>
    <d v="2025-03-31T00:00:00"/>
    <x v="2"/>
    <x v="0"/>
    <x v="2"/>
    <x v="0"/>
    <x v="7"/>
    <x v="5"/>
    <x v="12"/>
    <x v="2"/>
  </r>
  <r>
    <s v="TX502324"/>
    <x v="2"/>
    <x v="0"/>
    <n v="76.900000000000006"/>
    <x v="1721"/>
    <x v="85"/>
    <d v="2025-03-28T00:00:00"/>
    <x v="1"/>
    <x v="1"/>
    <x v="2"/>
    <x v="0"/>
    <x v="8"/>
    <x v="3"/>
    <x v="12"/>
    <x v="1"/>
  </r>
  <r>
    <s v="TX502325"/>
    <x v="7"/>
    <x v="13"/>
    <n v="36.1"/>
    <x v="1722"/>
    <x v="85"/>
    <d v="2025-03-31T00:00:00"/>
    <x v="2"/>
    <x v="0"/>
    <x v="0"/>
    <x v="0"/>
    <x v="8"/>
    <x v="5"/>
    <x v="12"/>
    <x v="2"/>
  </r>
  <r>
    <s v="TX502326"/>
    <x v="1"/>
    <x v="3"/>
    <n v="34.4"/>
    <x v="1723"/>
    <x v="85"/>
    <d v="2025-03-27T00:00:00"/>
    <x v="2"/>
    <x v="2"/>
    <x v="1"/>
    <x v="0"/>
    <x v="11"/>
    <x v="7"/>
    <x v="12"/>
    <x v="2"/>
  </r>
  <r>
    <s v="TX502327"/>
    <x v="1"/>
    <x v="31"/>
    <n v="53.4"/>
    <x v="1724"/>
    <x v="85"/>
    <d v="2025-03-29T00:00:00"/>
    <x v="2"/>
    <x v="1"/>
    <x v="0"/>
    <x v="0"/>
    <x v="18"/>
    <x v="1"/>
    <x v="12"/>
    <x v="2"/>
  </r>
  <r>
    <s v="TX502328"/>
    <x v="2"/>
    <x v="0"/>
    <n v="77.599999999999994"/>
    <x v="1598"/>
    <x v="85"/>
    <d v="2025-03-28T00:00:00"/>
    <x v="2"/>
    <x v="0"/>
    <x v="1"/>
    <x v="0"/>
    <x v="19"/>
    <x v="3"/>
    <x v="12"/>
    <x v="2"/>
  </r>
  <r>
    <s v="TX502329"/>
    <x v="1"/>
    <x v="2"/>
    <n v="71.7"/>
    <x v="1725"/>
    <x v="85"/>
    <d v="2025-03-30T00:00:00"/>
    <x v="2"/>
    <x v="1"/>
    <x v="0"/>
    <x v="0"/>
    <x v="19"/>
    <x v="2"/>
    <x v="12"/>
    <x v="2"/>
  </r>
  <r>
    <s v="TX502330"/>
    <x v="3"/>
    <x v="2"/>
    <n v="80.599999999999994"/>
    <x v="1726"/>
    <x v="85"/>
    <d v="2025-03-28T00:00:00"/>
    <x v="1"/>
    <x v="4"/>
    <x v="1"/>
    <x v="0"/>
    <x v="19"/>
    <x v="3"/>
    <x v="12"/>
    <x v="1"/>
  </r>
  <r>
    <s v="TX502331"/>
    <x v="1"/>
    <x v="20"/>
    <n v="70"/>
    <x v="1727"/>
    <x v="85"/>
    <d v="2025-03-29T00:00:00"/>
    <x v="1"/>
    <x v="0"/>
    <x v="0"/>
    <x v="0"/>
    <x v="20"/>
    <x v="1"/>
    <x v="12"/>
    <x v="1"/>
  </r>
  <r>
    <s v="TX502332"/>
    <x v="4"/>
    <x v="13"/>
    <n v="27.3"/>
    <x v="1728"/>
    <x v="85"/>
    <d v="2025-03-29T00:00:00"/>
    <x v="2"/>
    <x v="1"/>
    <x v="1"/>
    <x v="0"/>
    <x v="2"/>
    <x v="1"/>
    <x v="12"/>
    <x v="2"/>
  </r>
  <r>
    <s v="TX502333"/>
    <x v="8"/>
    <x v="21"/>
    <n v="37.6"/>
    <x v="1729"/>
    <x v="85"/>
    <d v="2025-03-29T00:00:00"/>
    <x v="1"/>
    <x v="1"/>
    <x v="0"/>
    <x v="0"/>
    <x v="3"/>
    <x v="1"/>
    <x v="12"/>
    <x v="1"/>
  </r>
  <r>
    <s v="TX502334"/>
    <x v="5"/>
    <x v="2"/>
    <n v="36.6"/>
    <x v="17"/>
    <x v="85"/>
    <d v="2025-03-29T00:00:00"/>
    <x v="2"/>
    <x v="4"/>
    <x v="0"/>
    <x v="0"/>
    <x v="3"/>
    <x v="1"/>
    <x v="12"/>
    <x v="2"/>
  </r>
  <r>
    <s v="TX502335"/>
    <x v="13"/>
    <x v="0"/>
    <n v="55.2"/>
    <x v="291"/>
    <x v="85"/>
    <d v="2025-03-29T00:00:00"/>
    <x v="1"/>
    <x v="3"/>
    <x v="0"/>
    <x v="0"/>
    <x v="3"/>
    <x v="1"/>
    <x v="12"/>
    <x v="1"/>
  </r>
  <r>
    <s v="TX502336"/>
    <x v="6"/>
    <x v="9"/>
    <n v="59.9"/>
    <x v="1444"/>
    <x v="85"/>
    <d v="2025-03-29T00:00:00"/>
    <x v="1"/>
    <x v="0"/>
    <x v="0"/>
    <x v="0"/>
    <x v="3"/>
    <x v="1"/>
    <x v="12"/>
    <x v="1"/>
  </r>
  <r>
    <s v="TX502337"/>
    <x v="6"/>
    <x v="0"/>
    <n v="44"/>
    <x v="945"/>
    <x v="85"/>
    <d v="2025-03-28T00:00:00"/>
    <x v="2"/>
    <x v="2"/>
    <x v="2"/>
    <x v="0"/>
    <x v="3"/>
    <x v="3"/>
    <x v="12"/>
    <x v="2"/>
  </r>
  <r>
    <s v="TX502338"/>
    <x v="9"/>
    <x v="1"/>
    <n v="68.7"/>
    <x v="1730"/>
    <x v="85"/>
    <d v="2025-03-27T00:00:00"/>
    <x v="1"/>
    <x v="0"/>
    <x v="0"/>
    <x v="0"/>
    <x v="3"/>
    <x v="7"/>
    <x v="12"/>
    <x v="1"/>
  </r>
  <r>
    <s v="TX502339"/>
    <x v="5"/>
    <x v="1"/>
    <n v="61.6"/>
    <x v="1432"/>
    <x v="85"/>
    <d v="2025-03-31T00:00:00"/>
    <x v="1"/>
    <x v="3"/>
    <x v="1"/>
    <x v="0"/>
    <x v="3"/>
    <x v="5"/>
    <x v="12"/>
    <x v="1"/>
  </r>
  <r>
    <s v="TX502340"/>
    <x v="7"/>
    <x v="3"/>
    <n v="51.8"/>
    <x v="1731"/>
    <x v="85"/>
    <d v="2025-03-28T00:00:00"/>
    <x v="1"/>
    <x v="0"/>
    <x v="0"/>
    <x v="0"/>
    <x v="3"/>
    <x v="3"/>
    <x v="12"/>
    <x v="1"/>
  </r>
  <r>
    <s v="TX502341"/>
    <x v="8"/>
    <x v="7"/>
    <n v="46.2"/>
    <x v="1236"/>
    <x v="85"/>
    <d v="2025-03-29T00:00:00"/>
    <x v="1"/>
    <x v="1"/>
    <x v="2"/>
    <x v="0"/>
    <x v="3"/>
    <x v="1"/>
    <x v="12"/>
    <x v="1"/>
  </r>
  <r>
    <s v="TX502342"/>
    <x v="0"/>
    <x v="1"/>
    <n v="19.399999999999999"/>
    <x v="1732"/>
    <x v="85"/>
    <d v="2025-03-29T00:00:00"/>
    <x v="2"/>
    <x v="1"/>
    <x v="2"/>
    <x v="0"/>
    <x v="6"/>
    <x v="1"/>
    <x v="12"/>
    <x v="2"/>
  </r>
  <r>
    <s v="TX502343"/>
    <x v="11"/>
    <x v="2"/>
    <n v="52.1"/>
    <x v="1733"/>
    <x v="85"/>
    <d v="2025-03-30T00:00:00"/>
    <x v="1"/>
    <x v="3"/>
    <x v="3"/>
    <x v="0"/>
    <x v="6"/>
    <x v="2"/>
    <x v="12"/>
    <x v="1"/>
  </r>
  <r>
    <s v="TX502344"/>
    <x v="6"/>
    <x v="0"/>
    <n v="74.900000000000006"/>
    <x v="1734"/>
    <x v="85"/>
    <d v="2025-03-29T00:00:00"/>
    <x v="3"/>
    <x v="0"/>
    <x v="0"/>
    <x v="0"/>
    <x v="7"/>
    <x v="1"/>
    <x v="12"/>
    <x v="3"/>
  </r>
  <r>
    <s v="TX502345"/>
    <x v="9"/>
    <x v="3"/>
    <n v="49.6"/>
    <x v="1735"/>
    <x v="85"/>
    <d v="2025-03-30T00:00:00"/>
    <x v="2"/>
    <x v="4"/>
    <x v="0"/>
    <x v="0"/>
    <x v="8"/>
    <x v="2"/>
    <x v="12"/>
    <x v="2"/>
  </r>
  <r>
    <s v="TX502346"/>
    <x v="16"/>
    <x v="12"/>
    <n v="82.8"/>
    <x v="1736"/>
    <x v="86"/>
    <d v="2025-03-31T00:00:00"/>
    <x v="2"/>
    <x v="4"/>
    <x v="0"/>
    <x v="0"/>
    <x v="8"/>
    <x v="2"/>
    <x v="12"/>
    <x v="2"/>
  </r>
  <r>
    <s v="TX502347"/>
    <x v="2"/>
    <x v="0"/>
    <n v="97.7"/>
    <x v="68"/>
    <x v="86"/>
    <d v="2025-03-29T00:00:00"/>
    <x v="2"/>
    <x v="1"/>
    <x v="0"/>
    <x v="0"/>
    <x v="8"/>
    <x v="3"/>
    <x v="12"/>
    <x v="2"/>
  </r>
  <r>
    <s v="TX502348"/>
    <x v="6"/>
    <x v="9"/>
    <n v="83.6"/>
    <x v="378"/>
    <x v="86"/>
    <d v="2025-03-29T00:00:00"/>
    <x v="2"/>
    <x v="4"/>
    <x v="0"/>
    <x v="0"/>
    <x v="8"/>
    <x v="3"/>
    <x v="12"/>
    <x v="2"/>
  </r>
  <r>
    <s v="TX502349"/>
    <x v="8"/>
    <x v="9"/>
    <n v="23.5"/>
    <x v="1737"/>
    <x v="86"/>
    <d v="2025-04-01T00:00:00"/>
    <x v="3"/>
    <x v="0"/>
    <x v="0"/>
    <x v="0"/>
    <x v="8"/>
    <x v="5"/>
    <x v="12"/>
    <x v="3"/>
  </r>
  <r>
    <s v="TX502350"/>
    <x v="9"/>
    <x v="2"/>
    <n v="44.6"/>
    <x v="981"/>
    <x v="86"/>
    <d v="2025-03-31T00:00:00"/>
    <x v="2"/>
    <x v="4"/>
    <x v="1"/>
    <x v="0"/>
    <x v="26"/>
    <x v="2"/>
    <x v="12"/>
    <x v="2"/>
  </r>
  <r>
    <s v="TX502351"/>
    <x v="0"/>
    <x v="2"/>
    <n v="20.100000000000001"/>
    <x v="1738"/>
    <x v="86"/>
    <d v="2025-03-30T00:00:00"/>
    <x v="2"/>
    <x v="3"/>
    <x v="4"/>
    <x v="0"/>
    <x v="11"/>
    <x v="1"/>
    <x v="12"/>
    <x v="2"/>
  </r>
  <r>
    <s v="TX502352"/>
    <x v="2"/>
    <x v="9"/>
    <n v="153.6"/>
    <x v="1739"/>
    <x v="86"/>
    <d v="2025-03-29T00:00:00"/>
    <x v="2"/>
    <x v="1"/>
    <x v="2"/>
    <x v="0"/>
    <x v="53"/>
    <x v="3"/>
    <x v="12"/>
    <x v="2"/>
  </r>
  <r>
    <s v="TX502353"/>
    <x v="1"/>
    <x v="1"/>
    <n v="71.8"/>
    <x v="897"/>
    <x v="86"/>
    <d v="2025-04-01T00:00:00"/>
    <x v="2"/>
    <x v="1"/>
    <x v="0"/>
    <x v="0"/>
    <x v="1"/>
    <x v="5"/>
    <x v="12"/>
    <x v="2"/>
  </r>
  <r>
    <s v="TX502354"/>
    <x v="10"/>
    <x v="0"/>
    <n v="64.7"/>
    <x v="1740"/>
    <x v="86"/>
    <d v="2025-03-30T00:00:00"/>
    <x v="0"/>
    <x v="0"/>
    <x v="1"/>
    <x v="0"/>
    <x v="1"/>
    <x v="1"/>
    <x v="12"/>
    <x v="0"/>
  </r>
  <r>
    <s v="TX502355"/>
    <x v="9"/>
    <x v="8"/>
    <n v="60.4"/>
    <x v="1741"/>
    <x v="86"/>
    <d v="2025-03-30T00:00:00"/>
    <x v="2"/>
    <x v="3"/>
    <x v="2"/>
    <x v="0"/>
    <x v="2"/>
    <x v="1"/>
    <x v="12"/>
    <x v="2"/>
  </r>
  <r>
    <s v="TX502356"/>
    <x v="6"/>
    <x v="12"/>
    <n v="86"/>
    <x v="1213"/>
    <x v="86"/>
    <d v="2025-03-31T00:00:00"/>
    <x v="2"/>
    <x v="2"/>
    <x v="2"/>
    <x v="0"/>
    <x v="22"/>
    <x v="2"/>
    <x v="12"/>
    <x v="2"/>
  </r>
  <r>
    <s v="TX502357"/>
    <x v="12"/>
    <x v="1"/>
    <n v="42.1"/>
    <x v="903"/>
    <x v="86"/>
    <d v="2025-03-29T00:00:00"/>
    <x v="2"/>
    <x v="4"/>
    <x v="1"/>
    <x v="0"/>
    <x v="34"/>
    <x v="3"/>
    <x v="12"/>
    <x v="2"/>
  </r>
  <r>
    <s v="TX502358"/>
    <x v="16"/>
    <x v="11"/>
    <n v="51.1"/>
    <x v="1742"/>
    <x v="86"/>
    <d v="2025-03-29T00:00:00"/>
    <x v="1"/>
    <x v="2"/>
    <x v="1"/>
    <x v="0"/>
    <x v="3"/>
    <x v="3"/>
    <x v="12"/>
    <x v="1"/>
  </r>
  <r>
    <s v="TX502359"/>
    <x v="9"/>
    <x v="12"/>
    <n v="73.8"/>
    <x v="1743"/>
    <x v="86"/>
    <d v="2025-03-29T00:00:00"/>
    <x v="1"/>
    <x v="4"/>
    <x v="0"/>
    <x v="0"/>
    <x v="3"/>
    <x v="3"/>
    <x v="12"/>
    <x v="1"/>
  </r>
  <r>
    <s v="TX502360"/>
    <x v="8"/>
    <x v="9"/>
    <n v="27"/>
    <x v="340"/>
    <x v="86"/>
    <d v="2025-03-31T00:00:00"/>
    <x v="2"/>
    <x v="2"/>
    <x v="2"/>
    <x v="0"/>
    <x v="3"/>
    <x v="2"/>
    <x v="12"/>
    <x v="2"/>
  </r>
  <r>
    <s v="TX502361"/>
    <x v="8"/>
    <x v="13"/>
    <n v="60.1"/>
    <x v="116"/>
    <x v="86"/>
    <d v="2025-03-29T00:00:00"/>
    <x v="1"/>
    <x v="3"/>
    <x v="0"/>
    <x v="0"/>
    <x v="3"/>
    <x v="3"/>
    <x v="12"/>
    <x v="1"/>
  </r>
  <r>
    <s v="TX502362"/>
    <x v="2"/>
    <x v="3"/>
    <n v="94.1"/>
    <x v="1744"/>
    <x v="86"/>
    <d v="2025-03-30T00:00:00"/>
    <x v="2"/>
    <x v="4"/>
    <x v="1"/>
    <x v="0"/>
    <x v="3"/>
    <x v="1"/>
    <x v="12"/>
    <x v="2"/>
  </r>
  <r>
    <s v="TX502363"/>
    <x v="2"/>
    <x v="1"/>
    <n v="124.1"/>
    <x v="1235"/>
    <x v="86"/>
    <d v="2025-03-28T00:00:00"/>
    <x v="2"/>
    <x v="2"/>
    <x v="3"/>
    <x v="0"/>
    <x v="43"/>
    <x v="7"/>
    <x v="12"/>
    <x v="2"/>
  </r>
  <r>
    <s v="TX502364"/>
    <x v="8"/>
    <x v="12"/>
    <n v="16.899999999999999"/>
    <x v="821"/>
    <x v="86"/>
    <d v="2025-03-31T00:00:00"/>
    <x v="1"/>
    <x v="3"/>
    <x v="0"/>
    <x v="0"/>
    <x v="6"/>
    <x v="2"/>
    <x v="12"/>
    <x v="1"/>
  </r>
  <r>
    <s v="TX502365"/>
    <x v="1"/>
    <x v="0"/>
    <n v="36.9"/>
    <x v="1745"/>
    <x v="86"/>
    <d v="2025-03-29T00:00:00"/>
    <x v="1"/>
    <x v="0"/>
    <x v="0"/>
    <x v="0"/>
    <x v="6"/>
    <x v="3"/>
    <x v="12"/>
    <x v="1"/>
  </r>
  <r>
    <s v="TX502366"/>
    <x v="9"/>
    <x v="1"/>
    <n v="22.6"/>
    <x v="705"/>
    <x v="86"/>
    <d v="2025-04-10T00:00:00"/>
    <x v="2"/>
    <x v="2"/>
    <x v="1"/>
    <x v="0"/>
    <x v="8"/>
    <x v="10"/>
    <x v="12"/>
    <x v="2"/>
  </r>
  <r>
    <s v="TX502367"/>
    <x v="7"/>
    <x v="12"/>
    <n v="35"/>
    <x v="1683"/>
    <x v="86"/>
    <d v="2025-04-02T00:00:00"/>
    <x v="1"/>
    <x v="3"/>
    <x v="1"/>
    <x v="0"/>
    <x v="8"/>
    <x v="0"/>
    <x v="12"/>
    <x v="1"/>
  </r>
  <r>
    <s v="TX502368"/>
    <x v="9"/>
    <x v="13"/>
    <n v="63.6"/>
    <x v="1746"/>
    <x v="86"/>
    <d v="2025-04-04T00:00:00"/>
    <x v="0"/>
    <x v="1"/>
    <x v="2"/>
    <x v="0"/>
    <x v="8"/>
    <x v="6"/>
    <x v="12"/>
    <x v="0"/>
  </r>
  <r>
    <s v="TX502369"/>
    <x v="15"/>
    <x v="12"/>
    <n v="78.599999999999994"/>
    <x v="1747"/>
    <x v="86"/>
    <d v="2025-03-29T00:00:00"/>
    <x v="1"/>
    <x v="4"/>
    <x v="1"/>
    <x v="0"/>
    <x v="8"/>
    <x v="3"/>
    <x v="12"/>
    <x v="1"/>
  </r>
  <r>
    <s v="TX502370"/>
    <x v="3"/>
    <x v="1"/>
    <n v="38.5"/>
    <x v="445"/>
    <x v="86"/>
    <d v="2025-03-29T00:00:00"/>
    <x v="1"/>
    <x v="0"/>
    <x v="2"/>
    <x v="0"/>
    <x v="8"/>
    <x v="3"/>
    <x v="12"/>
    <x v="1"/>
  </r>
  <r>
    <s v="TX502371"/>
    <x v="8"/>
    <x v="5"/>
    <n v="71.5"/>
    <x v="1748"/>
    <x v="86"/>
    <d v="2025-03-29T00:00:00"/>
    <x v="2"/>
    <x v="1"/>
    <x v="4"/>
    <x v="0"/>
    <x v="8"/>
    <x v="3"/>
    <x v="12"/>
    <x v="2"/>
  </r>
  <r>
    <s v="TX502372"/>
    <x v="6"/>
    <x v="12"/>
    <n v="121.4"/>
    <x v="1749"/>
    <x v="86"/>
    <d v="2025-04-01T00:00:00"/>
    <x v="1"/>
    <x v="1"/>
    <x v="2"/>
    <x v="0"/>
    <x v="17"/>
    <x v="5"/>
    <x v="12"/>
    <x v="1"/>
  </r>
  <r>
    <s v="TX502373"/>
    <x v="11"/>
    <x v="0"/>
    <n v="40.200000000000003"/>
    <x v="282"/>
    <x v="86"/>
    <d v="2025-03-31T00:00:00"/>
    <x v="2"/>
    <x v="0"/>
    <x v="2"/>
    <x v="0"/>
    <x v="11"/>
    <x v="2"/>
    <x v="12"/>
    <x v="2"/>
  </r>
  <r>
    <s v="TX502374"/>
    <x v="5"/>
    <x v="9"/>
    <n v="31.9"/>
    <x v="1750"/>
    <x v="86"/>
    <d v="2025-03-30T00:00:00"/>
    <x v="2"/>
    <x v="2"/>
    <x v="2"/>
    <x v="0"/>
    <x v="28"/>
    <x v="1"/>
    <x v="12"/>
    <x v="2"/>
  </r>
  <r>
    <s v="TX502375"/>
    <x v="14"/>
    <x v="9"/>
    <n v="15.8"/>
    <x v="1751"/>
    <x v="87"/>
    <d v="2025-03-30T00:00:00"/>
    <x v="1"/>
    <x v="3"/>
    <x v="2"/>
    <x v="0"/>
    <x v="21"/>
    <x v="3"/>
    <x v="12"/>
    <x v="1"/>
  </r>
  <r>
    <s v="TX502376"/>
    <x v="10"/>
    <x v="1"/>
    <n v="25.1"/>
    <x v="486"/>
    <x v="87"/>
    <d v="2025-03-31T00:00:00"/>
    <x v="0"/>
    <x v="1"/>
    <x v="0"/>
    <x v="0"/>
    <x v="21"/>
    <x v="1"/>
    <x v="12"/>
    <x v="0"/>
  </r>
  <r>
    <s v="TX502377"/>
    <x v="1"/>
    <x v="44"/>
    <n v="38.1"/>
    <x v="1752"/>
    <x v="87"/>
    <d v="2025-03-30T00:00:00"/>
    <x v="2"/>
    <x v="4"/>
    <x v="0"/>
    <x v="0"/>
    <x v="1"/>
    <x v="3"/>
    <x v="12"/>
    <x v="2"/>
  </r>
  <r>
    <s v="TX502378"/>
    <x v="3"/>
    <x v="1"/>
    <n v="42.2"/>
    <x v="533"/>
    <x v="87"/>
    <d v="2025-03-31T00:00:00"/>
    <x v="2"/>
    <x v="0"/>
    <x v="2"/>
    <x v="0"/>
    <x v="1"/>
    <x v="1"/>
    <x v="12"/>
    <x v="2"/>
  </r>
  <r>
    <s v="TX502379"/>
    <x v="0"/>
    <x v="7"/>
    <n v="12.3"/>
    <x v="1287"/>
    <x v="87"/>
    <d v="2025-03-30T00:00:00"/>
    <x v="2"/>
    <x v="4"/>
    <x v="0"/>
    <x v="0"/>
    <x v="2"/>
    <x v="3"/>
    <x v="12"/>
    <x v="2"/>
  </r>
  <r>
    <s v="TX502380"/>
    <x v="7"/>
    <x v="0"/>
    <n v="30.2"/>
    <x v="242"/>
    <x v="87"/>
    <d v="2025-03-31T00:00:00"/>
    <x v="2"/>
    <x v="1"/>
    <x v="2"/>
    <x v="0"/>
    <x v="34"/>
    <x v="1"/>
    <x v="12"/>
    <x v="2"/>
  </r>
  <r>
    <s v="TX502381"/>
    <x v="5"/>
    <x v="2"/>
    <n v="25.3"/>
    <x v="1554"/>
    <x v="87"/>
    <d v="2025-04-01T00:00:00"/>
    <x v="2"/>
    <x v="2"/>
    <x v="0"/>
    <x v="0"/>
    <x v="3"/>
    <x v="2"/>
    <x v="12"/>
    <x v="2"/>
  </r>
  <r>
    <s v="TX502382"/>
    <x v="8"/>
    <x v="9"/>
    <n v="29.7"/>
    <x v="1753"/>
    <x v="87"/>
    <d v="2025-03-31T00:00:00"/>
    <x v="1"/>
    <x v="3"/>
    <x v="0"/>
    <x v="0"/>
    <x v="3"/>
    <x v="1"/>
    <x v="12"/>
    <x v="1"/>
  </r>
  <r>
    <s v="TX502383"/>
    <x v="9"/>
    <x v="8"/>
    <n v="32.9"/>
    <x v="1754"/>
    <x v="87"/>
    <d v="2025-03-30T00:00:00"/>
    <x v="0"/>
    <x v="3"/>
    <x v="2"/>
    <x v="0"/>
    <x v="3"/>
    <x v="3"/>
    <x v="12"/>
    <x v="0"/>
  </r>
  <r>
    <s v="TX502384"/>
    <x v="10"/>
    <x v="1"/>
    <n v="43.6"/>
    <x v="640"/>
    <x v="87"/>
    <d v="2025-03-30T00:00:00"/>
    <x v="1"/>
    <x v="1"/>
    <x v="2"/>
    <x v="0"/>
    <x v="3"/>
    <x v="3"/>
    <x v="12"/>
    <x v="1"/>
  </r>
  <r>
    <s v="TX502385"/>
    <x v="15"/>
    <x v="12"/>
    <n v="78.400000000000006"/>
    <x v="1755"/>
    <x v="87"/>
    <d v="2025-03-30T00:00:00"/>
    <x v="1"/>
    <x v="2"/>
    <x v="0"/>
    <x v="0"/>
    <x v="3"/>
    <x v="3"/>
    <x v="12"/>
    <x v="1"/>
  </r>
  <r>
    <s v="TX502386"/>
    <x v="6"/>
    <x v="1"/>
    <n v="56.5"/>
    <x v="548"/>
    <x v="87"/>
    <d v="2025-04-02T00:00:00"/>
    <x v="1"/>
    <x v="1"/>
    <x v="1"/>
    <x v="0"/>
    <x v="3"/>
    <x v="5"/>
    <x v="12"/>
    <x v="1"/>
  </r>
  <r>
    <s v="TX502387"/>
    <x v="16"/>
    <x v="0"/>
    <n v="36.700000000000003"/>
    <x v="329"/>
    <x v="87"/>
    <d v="2025-03-30T00:00:00"/>
    <x v="2"/>
    <x v="0"/>
    <x v="2"/>
    <x v="0"/>
    <x v="3"/>
    <x v="3"/>
    <x v="12"/>
    <x v="2"/>
  </r>
  <r>
    <s v="TX502388"/>
    <x v="2"/>
    <x v="12"/>
    <n v="103.6"/>
    <x v="1756"/>
    <x v="87"/>
    <d v="2025-04-09T00:00:00"/>
    <x v="1"/>
    <x v="4"/>
    <x v="2"/>
    <x v="0"/>
    <x v="3"/>
    <x v="11"/>
    <x v="12"/>
    <x v="1"/>
  </r>
  <r>
    <s v="TX502389"/>
    <x v="8"/>
    <x v="13"/>
    <n v="16.2"/>
    <x v="1757"/>
    <x v="87"/>
    <d v="2025-04-02T00:00:00"/>
    <x v="1"/>
    <x v="1"/>
    <x v="2"/>
    <x v="0"/>
    <x v="6"/>
    <x v="5"/>
    <x v="12"/>
    <x v="1"/>
  </r>
  <r>
    <s v="TX502390"/>
    <x v="8"/>
    <x v="1"/>
    <n v="20.2"/>
    <x v="1400"/>
    <x v="87"/>
    <d v="2025-03-30T00:00:00"/>
    <x v="2"/>
    <x v="0"/>
    <x v="0"/>
    <x v="0"/>
    <x v="6"/>
    <x v="3"/>
    <x v="12"/>
    <x v="2"/>
  </r>
  <r>
    <s v="TX502391"/>
    <x v="11"/>
    <x v="1"/>
    <n v="26.9"/>
    <x v="1758"/>
    <x v="87"/>
    <d v="2025-03-31T00:00:00"/>
    <x v="2"/>
    <x v="2"/>
    <x v="0"/>
    <x v="0"/>
    <x v="6"/>
    <x v="1"/>
    <x v="12"/>
    <x v="2"/>
  </r>
  <r>
    <s v="TX502392"/>
    <x v="1"/>
    <x v="1"/>
    <n v="82.4"/>
    <x v="1759"/>
    <x v="87"/>
    <d v="2025-04-01T00:00:00"/>
    <x v="0"/>
    <x v="0"/>
    <x v="0"/>
    <x v="0"/>
    <x v="7"/>
    <x v="2"/>
    <x v="12"/>
    <x v="0"/>
  </r>
  <r>
    <s v="TX502393"/>
    <x v="2"/>
    <x v="1"/>
    <n v="117.8"/>
    <x v="1760"/>
    <x v="87"/>
    <d v="2025-03-31T00:00:00"/>
    <x v="1"/>
    <x v="1"/>
    <x v="2"/>
    <x v="0"/>
    <x v="8"/>
    <x v="1"/>
    <x v="12"/>
    <x v="1"/>
  </r>
  <r>
    <s v="TX502394"/>
    <x v="11"/>
    <x v="12"/>
    <n v="36.700000000000003"/>
    <x v="1761"/>
    <x v="87"/>
    <d v="2025-03-30T00:00:00"/>
    <x v="1"/>
    <x v="1"/>
    <x v="0"/>
    <x v="0"/>
    <x v="8"/>
    <x v="3"/>
    <x v="12"/>
    <x v="1"/>
  </r>
  <r>
    <s v="TX502395"/>
    <x v="17"/>
    <x v="2"/>
    <n v="46.8"/>
    <x v="1762"/>
    <x v="87"/>
    <d v="2025-03-30T00:00:00"/>
    <x v="1"/>
    <x v="4"/>
    <x v="2"/>
    <x v="0"/>
    <x v="10"/>
    <x v="3"/>
    <x v="12"/>
    <x v="1"/>
  </r>
  <r>
    <s v="TX502396"/>
    <x v="3"/>
    <x v="0"/>
    <n v="61.4"/>
    <x v="886"/>
    <x v="87"/>
    <d v="2025-03-30T00:00:00"/>
    <x v="1"/>
    <x v="1"/>
    <x v="0"/>
    <x v="0"/>
    <x v="10"/>
    <x v="3"/>
    <x v="12"/>
    <x v="1"/>
  </r>
  <r>
    <s v="TX502397"/>
    <x v="15"/>
    <x v="1"/>
    <n v="22.9"/>
    <x v="494"/>
    <x v="87"/>
    <d v="2025-03-30T00:00:00"/>
    <x v="1"/>
    <x v="0"/>
    <x v="0"/>
    <x v="0"/>
    <x v="11"/>
    <x v="3"/>
    <x v="12"/>
    <x v="1"/>
  </r>
  <r>
    <s v="TX502398"/>
    <x v="10"/>
    <x v="1"/>
    <n v="22.1"/>
    <x v="573"/>
    <x v="87"/>
    <d v="2025-03-30T00:00:00"/>
    <x v="2"/>
    <x v="4"/>
    <x v="0"/>
    <x v="0"/>
    <x v="11"/>
    <x v="3"/>
    <x v="12"/>
    <x v="2"/>
  </r>
  <r>
    <s v="TX502399"/>
    <x v="12"/>
    <x v="1"/>
    <n v="31"/>
    <x v="85"/>
    <x v="87"/>
    <d v="2025-03-31T00:00:00"/>
    <x v="2"/>
    <x v="2"/>
    <x v="0"/>
    <x v="0"/>
    <x v="18"/>
    <x v="1"/>
    <x v="12"/>
    <x v="2"/>
  </r>
  <r>
    <s v="TX502400"/>
    <x v="18"/>
    <x v="1"/>
    <n v="84.2"/>
    <x v="1763"/>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50F126-0542-4336-8AD1-3B0EEEC49DAB}" name="pvt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9:C23"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5"/>
  </dataFields>
  <formats count="5">
    <format dxfId="29">
      <pivotArea collapsedLevelsAreSubtotals="1" fieldPosition="0">
        <references count="2">
          <reference field="4294967294" count="1" selected="0">
            <x v="1"/>
          </reference>
          <reference field="13" count="1">
            <x v="0"/>
          </reference>
        </references>
      </pivotArea>
    </format>
    <format dxfId="28">
      <pivotArea dataOnly="0" outline="0" fieldPosition="0">
        <references count="1">
          <reference field="4294967294" count="1">
            <x v="1"/>
          </reference>
        </references>
      </pivotArea>
    </format>
    <format dxfId="27">
      <pivotArea outline="0" collapsedLevelsAreSubtotals="1" fieldPosition="0">
        <references count="1">
          <reference field="4294967294" count="1" selected="0">
            <x v="1"/>
          </reference>
        </references>
      </pivotArea>
    </format>
    <format dxfId="26">
      <pivotArea dataOnly="0" labelOnly="1" outline="0" fieldPosition="0">
        <references count="1">
          <reference field="4294967294" count="1">
            <x v="1"/>
          </reference>
        </references>
      </pivotArea>
    </format>
    <format dxfId="25">
      <pivotArea outline="0" fieldPosition="0">
        <references count="1">
          <reference field="4294967294" count="1">
            <x v="1"/>
          </reference>
        </references>
      </pivotArea>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26D3B7-F6F2-4C8C-9D40-5899DF0D1E68}" name="pvt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D22807-213A-4044-B21A-A1AECE476EC8}" name="pvtMatrix"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C2DB3C-912C-432B-ACCB-559D3B627B2B}" name="pvt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ADE855-DC0C-4F6F-B6A8-2962D39C12BE}" name="pvt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J3:K8"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21">
    <chartFormat chart="9" format="12" series="1">
      <pivotArea type="data" outline="0" fieldPosition="0">
        <references count="2">
          <reference field="4294967294" count="1" selected="0">
            <x v="0"/>
          </reference>
          <reference field="14" count="1" selected="0">
            <x v="0"/>
          </reference>
        </references>
      </pivotArea>
    </chartFormat>
    <chartFormat chart="9" format="13" series="1">
      <pivotArea type="data" outline="0" fieldPosition="0">
        <references count="2">
          <reference field="4294967294" count="1" selected="0">
            <x v="0"/>
          </reference>
          <reference field="14" count="1" selected="0">
            <x v="1"/>
          </reference>
        </references>
      </pivotArea>
    </chartFormat>
    <chartFormat chart="9" format="14" series="1">
      <pivotArea type="data" outline="0" fieldPosition="0">
        <references count="2">
          <reference field="4294967294" count="1" selected="0">
            <x v="0"/>
          </reference>
          <reference field="14" count="1" selected="0">
            <x v="2"/>
          </reference>
        </references>
      </pivotArea>
    </chartFormat>
    <chartFormat chart="9" format="15" series="1">
      <pivotArea type="data" outline="0" fieldPosition="0">
        <references count="2">
          <reference field="4294967294" count="1" selected="0">
            <x v="0"/>
          </reference>
          <reference field="14" count="1" selected="0">
            <x v="3"/>
          </reference>
        </references>
      </pivotArea>
    </chartFormat>
    <chartFormat chart="12" format="0" series="1">
      <pivotArea type="data" outline="0" fieldPosition="0">
        <references count="2">
          <reference field="4294967294" count="1" selected="0">
            <x v="0"/>
          </reference>
          <reference field="14" count="1" selected="0">
            <x v="0"/>
          </reference>
        </references>
      </pivotArea>
    </chartFormat>
    <chartFormat chart="12" format="1" series="1">
      <pivotArea type="data" outline="0" fieldPosition="0">
        <references count="2">
          <reference field="4294967294" count="1" selected="0">
            <x v="0"/>
          </reference>
          <reference field="14" count="1" selected="0">
            <x v="1"/>
          </reference>
        </references>
      </pivotArea>
    </chartFormat>
    <chartFormat chart="12" format="2" series="1">
      <pivotArea type="data" outline="0" fieldPosition="0">
        <references count="2">
          <reference field="4294967294" count="1" selected="0">
            <x v="0"/>
          </reference>
          <reference field="14" count="1" selected="0">
            <x v="2"/>
          </reference>
        </references>
      </pivotArea>
    </chartFormat>
    <chartFormat chart="12" format="3" series="1">
      <pivotArea type="data" outline="0" fieldPosition="0">
        <references count="2">
          <reference field="4294967294" count="1" selected="0">
            <x v="0"/>
          </reference>
          <reference field="14" count="1" selected="0">
            <x v="3"/>
          </reference>
        </references>
      </pivotArea>
    </chartFormat>
    <chartFormat chart="20" format="8" series="1">
      <pivotArea type="data" outline="0" fieldPosition="0">
        <references count="2">
          <reference field="4294967294" count="1" selected="0">
            <x v="0"/>
          </reference>
          <reference field="14" count="1" selected="0">
            <x v="0"/>
          </reference>
        </references>
      </pivotArea>
    </chartFormat>
    <chartFormat chart="20" format="9" series="1">
      <pivotArea type="data" outline="0" fieldPosition="0">
        <references count="2">
          <reference field="4294967294" count="1" selected="0">
            <x v="0"/>
          </reference>
          <reference field="14" count="1" selected="0">
            <x v="1"/>
          </reference>
        </references>
      </pivotArea>
    </chartFormat>
    <chartFormat chart="20" format="10" series="1">
      <pivotArea type="data" outline="0" fieldPosition="0">
        <references count="2">
          <reference field="4294967294" count="1" selected="0">
            <x v="0"/>
          </reference>
          <reference field="14" count="1" selected="0">
            <x v="2"/>
          </reference>
        </references>
      </pivotArea>
    </chartFormat>
    <chartFormat chart="20" format="11" series="1">
      <pivotArea type="data" outline="0" fieldPosition="0">
        <references count="2">
          <reference field="4294967294" count="1" selected="0">
            <x v="0"/>
          </reference>
          <reference field="14" count="1" selected="0">
            <x v="3"/>
          </reference>
        </references>
      </pivotArea>
    </chartFormat>
    <chartFormat chart="24" format="0" series="1">
      <pivotArea type="data" outline="0" fieldPosition="0">
        <references count="2">
          <reference field="4294967294" count="1" selected="0">
            <x v="0"/>
          </reference>
          <reference field="14" count="1" selected="0">
            <x v="0"/>
          </reference>
        </references>
      </pivotArea>
    </chartFormat>
    <chartFormat chart="24" format="1" series="1">
      <pivotArea type="data" outline="0" fieldPosition="0">
        <references count="2">
          <reference field="4294967294" count="1" selected="0">
            <x v="0"/>
          </reference>
          <reference field="14" count="1" selected="0">
            <x v="1"/>
          </reference>
        </references>
      </pivotArea>
    </chartFormat>
    <chartFormat chart="24" format="2" series="1">
      <pivotArea type="data" outline="0" fieldPosition="0">
        <references count="2">
          <reference field="4294967294" count="1" selected="0">
            <x v="0"/>
          </reference>
          <reference field="14" count="1" selected="0">
            <x v="2"/>
          </reference>
        </references>
      </pivotArea>
    </chartFormat>
    <chartFormat chart="24" format="3" series="1">
      <pivotArea type="data" outline="0" fieldPosition="0">
        <references count="2">
          <reference field="4294967294" count="1" selected="0">
            <x v="0"/>
          </reference>
          <reference field="14" count="1" selected="0">
            <x v="3"/>
          </reference>
        </references>
      </pivotArea>
    </chartFormat>
    <chartFormat chart="42" format="16" series="1">
      <pivotArea type="data" outline="0" fieldPosition="0">
        <references count="1">
          <reference field="4294967294" count="1" selected="0">
            <x v="0"/>
          </reference>
        </references>
      </pivotArea>
    </chartFormat>
    <chartFormat chart="42" format="17">
      <pivotArea type="data" outline="0" fieldPosition="0">
        <references count="2">
          <reference field="4294967294" count="1" selected="0">
            <x v="0"/>
          </reference>
          <reference field="14" count="1" selected="0">
            <x v="0"/>
          </reference>
        </references>
      </pivotArea>
    </chartFormat>
    <chartFormat chart="42" format="18">
      <pivotArea type="data" outline="0" fieldPosition="0">
        <references count="2">
          <reference field="4294967294" count="1" selected="0">
            <x v="0"/>
          </reference>
          <reference field="14" count="1" selected="0">
            <x v="1"/>
          </reference>
        </references>
      </pivotArea>
    </chartFormat>
    <chartFormat chart="42" format="19">
      <pivotArea type="data" outline="0" fieldPosition="0">
        <references count="2">
          <reference field="4294967294" count="1" selected="0">
            <x v="0"/>
          </reference>
          <reference field="14" count="1" selected="0">
            <x v="2"/>
          </reference>
        </references>
      </pivotArea>
    </chartFormat>
    <chartFormat chart="42" format="2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8EEEC5-F24B-4F25-B3E5-B23B860E3940}" name="pvt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20" format="8" series="1">
      <pivotArea type="data" outline="0" fieldPosition="0">
        <references count="2">
          <reference field="4294967294" count="1" selected="0">
            <x v="0"/>
          </reference>
          <reference field="14" count="1" selected="0">
            <x v="0"/>
          </reference>
        </references>
      </pivotArea>
    </chartFormat>
    <chartFormat chart="20" format="9" series="1">
      <pivotArea type="data" outline="0" fieldPosition="0">
        <references count="2">
          <reference field="4294967294" count="1" selected="0">
            <x v="0"/>
          </reference>
          <reference field="14" count="1" selected="0">
            <x v="1"/>
          </reference>
        </references>
      </pivotArea>
    </chartFormat>
    <chartFormat chart="20" format="10" series="1">
      <pivotArea type="data" outline="0" fieldPosition="0">
        <references count="2">
          <reference field="4294967294" count="1" selected="0">
            <x v="0"/>
          </reference>
          <reference field="14" count="1" selected="0">
            <x v="2"/>
          </reference>
        </references>
      </pivotArea>
    </chartFormat>
    <chartFormat chart="20"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05030C-7194-4061-9C36-AAAB9E2E687F}" name="pvtDur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465C58-1717-4E3C-8F44-80FB4F6ECB57}" name="pvt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G8"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17" format="18" series="1">
      <pivotArea type="data" outline="0" fieldPosition="0">
        <references count="2">
          <reference field="4294967294" count="1" selected="0">
            <x v="0"/>
          </reference>
          <reference field="9" count="1" selected="0">
            <x v="0"/>
          </reference>
        </references>
      </pivotArea>
    </chartFormat>
    <chartFormat chart="17" format="19" series="1">
      <pivotArea type="data" outline="0" fieldPosition="0">
        <references count="2">
          <reference field="4294967294" count="1" selected="0">
            <x v="0"/>
          </reference>
          <reference field="9" count="1" selected="0">
            <x v="1"/>
          </reference>
        </references>
      </pivotArea>
    </chartFormat>
    <chartFormat chart="17" format="20" series="1">
      <pivotArea type="data" outline="0" fieldPosition="0">
        <references count="2">
          <reference field="4294967294" count="1" selected="0">
            <x v="0"/>
          </reference>
          <reference field="9" count="1" selected="0">
            <x v="2"/>
          </reference>
        </references>
      </pivotArea>
    </chartFormat>
    <chartFormat chart="17" format="21" series="1">
      <pivotArea type="data" outline="0" fieldPosition="0">
        <references count="2">
          <reference field="4294967294" count="1" selected="0">
            <x v="0"/>
          </reference>
          <reference field="9" count="1" selected="0">
            <x v="3"/>
          </reference>
        </references>
      </pivotArea>
    </chartFormat>
    <chartFormat chart="17" format="22"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C49F9C-A256-476B-996D-D2C245C0B3D4}" name="pvtmap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D61"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B9E9E11E-ECA6-4D82-AC58-3D02FA95ACC0}" sourceName="Order Mode">
  <pivotTables>
    <pivotTable tabId="12" name="pvtRating"/>
    <pivotTable tabId="5" name="pvtSummary"/>
    <pivotTable tabId="5" name="pvtTrend"/>
    <pivotTable tabId="8" name="pvtQty"/>
    <pivotTable tabId="9" name="pvtGender"/>
    <pivotTable tabId="9" name="pvtProduct"/>
    <pivotTable tabId="11" name="pvtDuration"/>
    <pivotTable tabId="13" name="pvtmaps"/>
  </pivotTables>
  <data>
    <tabular pivotCacheId="508632501">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51B4D0AF-70C5-49B3-A957-9316E287E4A9}" sourceName="Gender Value">
  <pivotTables>
    <pivotTable tabId="12" name="pvtRating"/>
    <pivotTable tabId="5" name="pvtSummary"/>
    <pivotTable tabId="5" name="pvtTrend"/>
    <pivotTable tabId="8" name="pvtQty"/>
    <pivotTable tabId="9" name="pvtProduct"/>
    <pivotTable tabId="11" name="pvtDuration"/>
    <pivotTable tabId="9" name="pvtGender"/>
    <pivotTable tabId="13" name="pvtmaps"/>
  </pivotTables>
  <data>
    <tabular pivotCacheId="508632501">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B88651BF-A94B-4CC6-8C60-6E27CAFA2C48}" cache="Slicer_Order_Mode" caption="Order Mode" style="SlicerStyleDark3" rowHeight="247650"/>
  <slicer name="Gender Value" xr10:uid="{1C4F3FC1-9213-4CF2-B105-B65444558179}" cache="Slicer_Gender_Value" caption="Gender Value" style="SlicerStyleDark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24"/>
    <tableColumn id="7" xr3:uid="{43BB5DBF-46E1-4185-80C0-4361F55A385C}" name="Ship Date" dataDxfId="2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2">
      <calculatedColumnFormula>orders[[#This Row],[Ship Date]]-orders[[#This Row],[Order Date]]</calculatedColumnFormula>
    </tableColumn>
    <tableColumn id="12" xr3:uid="{B071C0DA-87A9-4516-B4D9-4F5B7D3FF44A}" name="Weeknum" dataDxfId="21">
      <calculatedColumnFormula>WEEKNUM(orders[[#This Row],[Order Date]])</calculatedColumnFormula>
    </tableColumn>
    <tableColumn id="13" xr3:uid="{B8EA9E28-7541-4E76-9935-C26438661A18}" name="Gender Value" dataDxfId="2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AAB0C-35B9-417A-8E0F-3E50E1C66539}">
  <dimension ref="A2:K23"/>
  <sheetViews>
    <sheetView workbookViewId="0">
      <selection activeCell="E12" sqref="E12"/>
    </sheetView>
  </sheetViews>
  <sheetFormatPr defaultRowHeight="14.4" x14ac:dyDescent="0.3"/>
  <cols>
    <col min="1" max="1" width="12.44140625" bestFit="1" customWidth="1"/>
    <col min="2" max="2" width="14.21875" bestFit="1" customWidth="1"/>
    <col min="3" max="3" width="14.5546875" bestFit="1" customWidth="1"/>
    <col min="4" max="4" width="16.6640625" bestFit="1" customWidth="1"/>
    <col min="5" max="5" width="22.33203125" bestFit="1" customWidth="1"/>
  </cols>
  <sheetData>
    <row r="2" spans="1:11" x14ac:dyDescent="0.3">
      <c r="G2" s="22" t="s">
        <v>2555</v>
      </c>
    </row>
    <row r="3" spans="1:11" x14ac:dyDescent="0.3">
      <c r="A3" t="s">
        <v>2552</v>
      </c>
      <c r="B3" t="s">
        <v>2553</v>
      </c>
      <c r="C3" t="s">
        <v>2551</v>
      </c>
      <c r="D3" t="s">
        <v>2554</v>
      </c>
      <c r="E3" t="s">
        <v>2559</v>
      </c>
      <c r="G3" t="s">
        <v>2538</v>
      </c>
      <c r="H3" t="s">
        <v>2556</v>
      </c>
      <c r="I3" t="s">
        <v>4</v>
      </c>
      <c r="J3" t="s">
        <v>2557</v>
      </c>
      <c r="K3" t="s">
        <v>2558</v>
      </c>
    </row>
    <row r="4" spans="1:11" x14ac:dyDescent="0.3">
      <c r="A4" s="13">
        <v>2400</v>
      </c>
      <c r="B4" s="13">
        <v>11997</v>
      </c>
      <c r="C4" s="13">
        <v>649019.80000000144</v>
      </c>
      <c r="D4" s="13">
        <v>3.9620833333333332</v>
      </c>
      <c r="E4" s="13">
        <v>2.3424999999999998</v>
      </c>
      <c r="G4" t="str">
        <f>TEXT(A4,"#,##")</f>
        <v>2,400</v>
      </c>
      <c r="H4" t="str">
        <f t="shared" ref="H4" si="0">TEXT(B4,"#,##")</f>
        <v>11,997</v>
      </c>
      <c r="I4" t="str">
        <f>TEXT(C4,"$#,##,.0k")</f>
        <v>$649.0k</v>
      </c>
      <c r="J4" t="str">
        <f>TEXT(D4,"0.0")</f>
        <v>4.0</v>
      </c>
      <c r="K4" t="str">
        <f>TEXT(E4,"0.0")</f>
        <v>2.3</v>
      </c>
    </row>
    <row r="7" spans="1:11" x14ac:dyDescent="0.3">
      <c r="A7" s="22" t="s">
        <v>2575</v>
      </c>
    </row>
    <row r="9" spans="1:11" x14ac:dyDescent="0.3">
      <c r="A9" s="14" t="s">
        <v>2549</v>
      </c>
      <c r="B9" t="s">
        <v>2553</v>
      </c>
      <c r="C9" s="16" t="s">
        <v>2551</v>
      </c>
    </row>
    <row r="10" spans="1:11" x14ac:dyDescent="0.3">
      <c r="A10" s="15">
        <v>1</v>
      </c>
      <c r="B10" s="13">
        <v>546</v>
      </c>
      <c r="C10" s="17">
        <v>32413.300000000003</v>
      </c>
    </row>
    <row r="11" spans="1:11" x14ac:dyDescent="0.3">
      <c r="A11" s="15">
        <v>2</v>
      </c>
      <c r="B11" s="13">
        <v>905</v>
      </c>
      <c r="C11" s="17">
        <v>49562.999999999993</v>
      </c>
    </row>
    <row r="12" spans="1:11" x14ac:dyDescent="0.3">
      <c r="A12" s="15">
        <v>3</v>
      </c>
      <c r="B12" s="13">
        <v>796</v>
      </c>
      <c r="C12" s="17">
        <v>41700.400000000016</v>
      </c>
    </row>
    <row r="13" spans="1:11" x14ac:dyDescent="0.3">
      <c r="A13" s="15">
        <v>4</v>
      </c>
      <c r="B13" s="13">
        <v>913</v>
      </c>
      <c r="C13" s="17">
        <v>46782.599999999984</v>
      </c>
    </row>
    <row r="14" spans="1:11" x14ac:dyDescent="0.3">
      <c r="A14" s="15">
        <v>5</v>
      </c>
      <c r="B14" s="13">
        <v>844</v>
      </c>
      <c r="C14" s="17">
        <v>42676.100000000006</v>
      </c>
    </row>
    <row r="15" spans="1:11" x14ac:dyDescent="0.3">
      <c r="A15" s="15">
        <v>6</v>
      </c>
      <c r="B15" s="13">
        <v>1202</v>
      </c>
      <c r="C15" s="17">
        <v>62910.7</v>
      </c>
    </row>
    <row r="16" spans="1:11" x14ac:dyDescent="0.3">
      <c r="A16" s="15">
        <v>7</v>
      </c>
      <c r="B16" s="13">
        <v>935</v>
      </c>
      <c r="C16" s="17">
        <v>50332.200000000004</v>
      </c>
    </row>
    <row r="17" spans="1:3" x14ac:dyDescent="0.3">
      <c r="A17" s="15">
        <v>8</v>
      </c>
      <c r="B17" s="13">
        <v>1128</v>
      </c>
      <c r="C17" s="17">
        <v>58760.599999999977</v>
      </c>
    </row>
    <row r="18" spans="1:3" x14ac:dyDescent="0.3">
      <c r="A18" s="15">
        <v>9</v>
      </c>
      <c r="B18" s="13">
        <v>1007</v>
      </c>
      <c r="C18" s="17">
        <v>52017.299999999996</v>
      </c>
    </row>
    <row r="19" spans="1:3" x14ac:dyDescent="0.3">
      <c r="A19" s="15">
        <v>10</v>
      </c>
      <c r="B19" s="13">
        <v>1128</v>
      </c>
      <c r="C19" s="17">
        <v>64915.700000000033</v>
      </c>
    </row>
    <row r="20" spans="1:3" x14ac:dyDescent="0.3">
      <c r="A20" s="15">
        <v>11</v>
      </c>
      <c r="B20" s="13">
        <v>861</v>
      </c>
      <c r="C20" s="17">
        <v>45943.80000000001</v>
      </c>
    </row>
    <row r="21" spans="1:3" x14ac:dyDescent="0.3">
      <c r="A21" s="15">
        <v>12</v>
      </c>
      <c r="B21" s="13">
        <v>944</v>
      </c>
      <c r="C21" s="17">
        <v>55077.900000000031</v>
      </c>
    </row>
    <row r="22" spans="1:3" x14ac:dyDescent="0.3">
      <c r="A22" s="15">
        <v>13</v>
      </c>
      <c r="B22" s="13">
        <v>788</v>
      </c>
      <c r="C22" s="17">
        <v>45926.19999999999</v>
      </c>
    </row>
    <row r="23" spans="1:3" x14ac:dyDescent="0.3">
      <c r="A23" s="15" t="s">
        <v>2550</v>
      </c>
      <c r="B23" s="13">
        <v>11997</v>
      </c>
      <c r="C23" s="17">
        <v>649019.79999999993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1663B-F71E-4352-A559-D1C1C279A4A6}">
  <dimension ref="A1"/>
  <sheetViews>
    <sheetView tabSelected="1" zoomScale="66" zoomScaleNormal="66" workbookViewId="0">
      <selection activeCell="AB10" sqref="AB10"/>
    </sheetView>
  </sheetViews>
  <sheetFormatPr defaultRowHeight="14.4" x14ac:dyDescent="0.3"/>
  <cols>
    <col min="1" max="1" width="5.44140625" customWidth="1"/>
    <col min="2" max="2" width="15.21875" customWidth="1"/>
    <col min="3" max="3" width="5.4414062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810F3-C70A-4429-8DED-3FB1F40DCFF7}">
  <dimension ref="A2:L10"/>
  <sheetViews>
    <sheetView showGridLines="0" workbookViewId="0">
      <selection activeCell="B16" sqref="B16"/>
    </sheetView>
  </sheetViews>
  <sheetFormatPr defaultRowHeight="14.4" x14ac:dyDescent="0.3"/>
  <cols>
    <col min="1" max="1" width="13.5546875" bestFit="1" customWidth="1"/>
    <col min="2" max="2" width="15.5546875" bestFit="1" customWidth="1"/>
    <col min="3" max="3" width="7.109375" bestFit="1" customWidth="1"/>
    <col min="4" max="4" width="6.109375" bestFit="1" customWidth="1"/>
    <col min="5" max="5" width="8.5546875" bestFit="1" customWidth="1"/>
    <col min="6" max="6" width="10.5546875" bestFit="1" customWidth="1"/>
    <col min="8" max="8" width="10.77734375" customWidth="1"/>
  </cols>
  <sheetData>
    <row r="2" spans="1:12" x14ac:dyDescent="0.3">
      <c r="H2" t="s">
        <v>2565</v>
      </c>
    </row>
    <row r="3" spans="1:12" x14ac:dyDescent="0.3">
      <c r="A3" s="14" t="s">
        <v>2551</v>
      </c>
      <c r="B3" s="14" t="s">
        <v>2560</v>
      </c>
    </row>
    <row r="4" spans="1:12" x14ac:dyDescent="0.3">
      <c r="A4" s="14" t="s">
        <v>2549</v>
      </c>
      <c r="B4" t="s">
        <v>2561</v>
      </c>
      <c r="C4" t="s">
        <v>2562</v>
      </c>
      <c r="D4" t="s">
        <v>2563</v>
      </c>
      <c r="E4" t="s">
        <v>2564</v>
      </c>
      <c r="F4" t="s">
        <v>2550</v>
      </c>
      <c r="H4" s="20"/>
      <c r="I4" s="20" t="str">
        <f>B4</f>
        <v>Female</v>
      </c>
      <c r="J4" s="20" t="str">
        <f t="shared" ref="J4:L4" si="0">C4</f>
        <v>Male</v>
      </c>
      <c r="K4" s="20" t="str">
        <f t="shared" si="0"/>
        <v>Other</v>
      </c>
      <c r="L4" s="20" t="str">
        <f t="shared" si="0"/>
        <v>Unknown</v>
      </c>
    </row>
    <row r="5" spans="1:12" x14ac:dyDescent="0.3">
      <c r="A5" s="15" t="s">
        <v>18</v>
      </c>
      <c r="B5" s="18">
        <v>0.18961825201634841</v>
      </c>
      <c r="C5" s="18">
        <v>0.12262322351336576</v>
      </c>
      <c r="D5" s="18">
        <v>1.060537752469185E-2</v>
      </c>
      <c r="E5" s="18">
        <v>3.0599220547662797E-2</v>
      </c>
      <c r="F5" s="18">
        <v>0.35344607360206881</v>
      </c>
      <c r="H5" s="20" t="str">
        <f>A5</f>
        <v>App</v>
      </c>
      <c r="I5" s="21">
        <f t="shared" ref="I5:L9" si="1">B5</f>
        <v>0.18961825201634841</v>
      </c>
      <c r="J5" s="21">
        <f t="shared" si="1"/>
        <v>0.12262322351336576</v>
      </c>
      <c r="K5" s="21">
        <f t="shared" si="1"/>
        <v>1.060537752469185E-2</v>
      </c>
      <c r="L5" s="21">
        <f t="shared" si="1"/>
        <v>3.0599220547662797E-2</v>
      </c>
    </row>
    <row r="6" spans="1:12" x14ac:dyDescent="0.3">
      <c r="A6" s="15" t="s">
        <v>51</v>
      </c>
      <c r="B6" s="18">
        <v>5.0283982091147303E-2</v>
      </c>
      <c r="C6" s="18">
        <v>4.3060781812819873E-2</v>
      </c>
      <c r="D6" s="18">
        <v>1.5320025675641944E-3</v>
      </c>
      <c r="E6" s="18">
        <v>1.7794988689097006E-2</v>
      </c>
      <c r="F6" s="18">
        <v>0.11267175516062837</v>
      </c>
      <c r="H6" s="20" t="str">
        <f t="shared" ref="H6:H9" si="2">A6</f>
        <v>Instagram</v>
      </c>
      <c r="I6" s="21">
        <f t="shared" si="1"/>
        <v>5.0283982091147303E-2</v>
      </c>
      <c r="J6" s="21">
        <f t="shared" si="1"/>
        <v>4.3060781812819873E-2</v>
      </c>
      <c r="K6" s="21">
        <f t="shared" si="1"/>
        <v>1.5320025675641944E-3</v>
      </c>
      <c r="L6" s="21">
        <f t="shared" si="1"/>
        <v>1.7794988689097006E-2</v>
      </c>
    </row>
    <row r="7" spans="1:12" x14ac:dyDescent="0.3">
      <c r="A7" s="15" t="s">
        <v>70</v>
      </c>
      <c r="B7" s="18">
        <v>6.3496059750411282E-2</v>
      </c>
      <c r="C7" s="18">
        <v>4.6071629863988765E-2</v>
      </c>
      <c r="D7" s="18">
        <v>2.306247051322625E-3</v>
      </c>
      <c r="E7" s="18">
        <v>3.8927934093844286E-3</v>
      </c>
      <c r="F7" s="18">
        <v>0.11576673007510711</v>
      </c>
      <c r="H7" s="20" t="str">
        <f t="shared" si="2"/>
        <v>Partner App</v>
      </c>
      <c r="I7" s="21">
        <f t="shared" si="1"/>
        <v>6.3496059750411282E-2</v>
      </c>
      <c r="J7" s="21">
        <f t="shared" si="1"/>
        <v>4.6071629863988765E-2</v>
      </c>
      <c r="K7" s="21">
        <f t="shared" si="1"/>
        <v>2.306247051322625E-3</v>
      </c>
      <c r="L7" s="21">
        <f t="shared" si="1"/>
        <v>3.8927934093844286E-3</v>
      </c>
    </row>
    <row r="8" spans="1:12" x14ac:dyDescent="0.3">
      <c r="A8" s="15" t="s">
        <v>40</v>
      </c>
      <c r="B8" s="18">
        <v>9.6337892927149532E-2</v>
      </c>
      <c r="C8" s="18">
        <v>6.7920115842382611E-2</v>
      </c>
      <c r="D8" s="18">
        <v>5.4979832664581261E-3</v>
      </c>
      <c r="E8" s="18">
        <v>1.2933041488102518E-2</v>
      </c>
      <c r="F8" s="18">
        <v>0.1826890335240928</v>
      </c>
      <c r="H8" s="20" t="str">
        <f t="shared" si="2"/>
        <v>Target.com</v>
      </c>
      <c r="I8" s="21">
        <f t="shared" si="1"/>
        <v>9.6337892927149532E-2</v>
      </c>
      <c r="J8" s="21">
        <f t="shared" si="1"/>
        <v>6.7920115842382611E-2</v>
      </c>
      <c r="K8" s="21">
        <f t="shared" si="1"/>
        <v>5.4979832664581261E-3</v>
      </c>
      <c r="L8" s="21">
        <f t="shared" si="1"/>
        <v>1.2933041488102518E-2</v>
      </c>
    </row>
    <row r="9" spans="1:12" x14ac:dyDescent="0.3">
      <c r="A9" s="15" t="s">
        <v>35</v>
      </c>
      <c r="B9" s="18">
        <v>0.12522098709469262</v>
      </c>
      <c r="C9" s="18">
        <v>9.1492740283116228E-2</v>
      </c>
      <c r="D9" s="18">
        <v>6.3042760790965081E-3</v>
      </c>
      <c r="E9" s="18">
        <v>1.2408404181197551E-2</v>
      </c>
      <c r="F9" s="18">
        <v>0.23542640763810288</v>
      </c>
      <c r="H9" s="20" t="str">
        <f t="shared" si="2"/>
        <v>Website</v>
      </c>
      <c r="I9" s="21">
        <f t="shared" si="1"/>
        <v>0.12522098709469262</v>
      </c>
      <c r="J9" s="21">
        <f t="shared" si="1"/>
        <v>9.1492740283116228E-2</v>
      </c>
      <c r="K9" s="21">
        <f t="shared" si="1"/>
        <v>6.3042760790965081E-3</v>
      </c>
      <c r="L9" s="21">
        <f t="shared" si="1"/>
        <v>1.2408404181197551E-2</v>
      </c>
    </row>
    <row r="10" spans="1:12" x14ac:dyDescent="0.3">
      <c r="A10" s="15" t="s">
        <v>2550</v>
      </c>
      <c r="B10" s="18">
        <v>0.52495717387974916</v>
      </c>
      <c r="C10" s="18">
        <v>0.3711684913156732</v>
      </c>
      <c r="D10" s="18">
        <v>2.6245886489133303E-2</v>
      </c>
      <c r="E10" s="18">
        <v>7.7628448315444312E-2</v>
      </c>
      <c r="F10" s="18">
        <v>1</v>
      </c>
      <c r="I10" s="19"/>
      <c r="J10" s="19"/>
      <c r="K10" s="19"/>
      <c r="L10" s="19"/>
    </row>
  </sheetData>
  <conditionalFormatting sqref="I5:L10">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4F342-7372-48D1-AA6E-734FB4AB70AF}">
  <dimension ref="A2:B11"/>
  <sheetViews>
    <sheetView workbookViewId="0">
      <selection activeCell="B5" sqref="B5"/>
    </sheetView>
  </sheetViews>
  <sheetFormatPr defaultRowHeight="14.4" x14ac:dyDescent="0.3"/>
  <cols>
    <col min="1" max="1" width="12.44140625" bestFit="1" customWidth="1"/>
    <col min="2" max="2" width="12.21875" bestFit="1" customWidth="1"/>
  </cols>
  <sheetData>
    <row r="2" spans="1:2" x14ac:dyDescent="0.3">
      <c r="A2" s="22" t="s">
        <v>2576</v>
      </c>
    </row>
    <row r="3" spans="1:2" x14ac:dyDescent="0.3">
      <c r="A3" s="14" t="s">
        <v>2549</v>
      </c>
      <c r="B3" t="s">
        <v>2552</v>
      </c>
    </row>
    <row r="4" spans="1:2" x14ac:dyDescent="0.3">
      <c r="A4" s="15">
        <v>1</v>
      </c>
      <c r="B4" s="13">
        <v>397</v>
      </c>
    </row>
    <row r="5" spans="1:2" x14ac:dyDescent="0.3">
      <c r="A5" s="15">
        <v>2</v>
      </c>
      <c r="B5" s="13">
        <v>540</v>
      </c>
    </row>
    <row r="6" spans="1:2" x14ac:dyDescent="0.3">
      <c r="A6" s="15">
        <v>3</v>
      </c>
      <c r="B6" s="13">
        <v>375</v>
      </c>
    </row>
    <row r="7" spans="1:2" x14ac:dyDescent="0.3">
      <c r="A7" s="15">
        <v>4</v>
      </c>
      <c r="B7" s="13">
        <v>246</v>
      </c>
    </row>
    <row r="8" spans="1:2" x14ac:dyDescent="0.3">
      <c r="A8" s="15">
        <v>5</v>
      </c>
      <c r="B8" s="13">
        <v>195</v>
      </c>
    </row>
    <row r="9" spans="1:2" x14ac:dyDescent="0.3">
      <c r="A9" s="15" t="s">
        <v>2566</v>
      </c>
      <c r="B9" s="13">
        <v>414</v>
      </c>
    </row>
    <row r="10" spans="1:2" x14ac:dyDescent="0.3">
      <c r="A10" s="15" t="s">
        <v>2567</v>
      </c>
      <c r="B10" s="13">
        <v>233</v>
      </c>
    </row>
    <row r="11" spans="1:2" x14ac:dyDescent="0.3">
      <c r="A11" s="15" t="s">
        <v>2550</v>
      </c>
      <c r="B11" s="13">
        <v>2400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952AE-A967-4294-9A9F-67FCFCB85514}">
  <dimension ref="A1:K25"/>
  <sheetViews>
    <sheetView workbookViewId="0">
      <selection activeCell="A7" sqref="A7:F7"/>
      <pivotSelection pane="bottomRight" showHeader="1" extendable="1" axis="axisRow" start="2" max="21" activeRow="6" previousRow="6" click="1" r:id="rId2">
        <pivotArea dataOnly="0" fieldPosition="0">
          <references count="1">
            <reference field="1" count="1">
              <x v="13"/>
            </reference>
          </references>
        </pivotArea>
      </pivotSelection>
    </sheetView>
  </sheetViews>
  <sheetFormatPr defaultRowHeight="14.4" x14ac:dyDescent="0.3"/>
  <cols>
    <col min="1" max="1" width="19.109375" bestFit="1" customWidth="1"/>
    <col min="2" max="2" width="15.5546875" bestFit="1" customWidth="1"/>
    <col min="3" max="3" width="5" bestFit="1" customWidth="1"/>
    <col min="4" max="4" width="5.6640625" bestFit="1" customWidth="1"/>
    <col min="5" max="5" width="8.5546875" bestFit="1" customWidth="1"/>
    <col min="6" max="6" width="10.5546875" bestFit="1" customWidth="1"/>
    <col min="7" max="7" width="6.88671875" bestFit="1" customWidth="1"/>
    <col min="8" max="8" width="5.6640625" bestFit="1" customWidth="1"/>
    <col min="9" max="9" width="6.77734375" bestFit="1" customWidth="1"/>
    <col min="10" max="10" width="12.44140625" bestFit="1" customWidth="1"/>
    <col min="11" max="11" width="14.21875" bestFit="1" customWidth="1"/>
    <col min="12" max="12" width="5" bestFit="1" customWidth="1"/>
    <col min="13" max="13" width="5.6640625" bestFit="1" customWidth="1"/>
    <col min="14" max="14" width="8.5546875" bestFit="1" customWidth="1"/>
    <col min="15" max="15" width="10.5546875" bestFit="1" customWidth="1"/>
  </cols>
  <sheetData>
    <row r="1" spans="1:11" x14ac:dyDescent="0.3">
      <c r="A1" s="22" t="s">
        <v>2568</v>
      </c>
    </row>
    <row r="3" spans="1:11" x14ac:dyDescent="0.3">
      <c r="A3" s="14" t="s">
        <v>2553</v>
      </c>
      <c r="B3" s="14" t="s">
        <v>2560</v>
      </c>
      <c r="J3" s="14" t="s">
        <v>2549</v>
      </c>
      <c r="K3" t="s">
        <v>2553</v>
      </c>
    </row>
    <row r="4" spans="1:11" x14ac:dyDescent="0.3">
      <c r="A4" s="14" t="s">
        <v>2549</v>
      </c>
      <c r="B4" t="s">
        <v>2561</v>
      </c>
      <c r="C4" t="s">
        <v>2562</v>
      </c>
      <c r="D4" t="s">
        <v>2563</v>
      </c>
      <c r="E4" t="s">
        <v>2564</v>
      </c>
      <c r="F4" t="s">
        <v>2550</v>
      </c>
      <c r="J4" s="15" t="s">
        <v>2561</v>
      </c>
      <c r="K4" s="13">
        <v>6272</v>
      </c>
    </row>
    <row r="5" spans="1:11" x14ac:dyDescent="0.3">
      <c r="A5" s="15" t="s">
        <v>44</v>
      </c>
      <c r="B5" s="13">
        <v>744</v>
      </c>
      <c r="C5" s="13">
        <v>713</v>
      </c>
      <c r="D5" s="13">
        <v>90</v>
      </c>
      <c r="E5" s="13">
        <v>98</v>
      </c>
      <c r="F5" s="13">
        <v>1645</v>
      </c>
      <c r="J5" s="15" t="s">
        <v>2562</v>
      </c>
      <c r="K5" s="13">
        <v>4672</v>
      </c>
    </row>
    <row r="6" spans="1:11" x14ac:dyDescent="0.3">
      <c r="A6" s="15" t="s">
        <v>39</v>
      </c>
      <c r="B6" s="13">
        <v>716</v>
      </c>
      <c r="C6" s="13">
        <v>598</v>
      </c>
      <c r="D6" s="13">
        <v>18</v>
      </c>
      <c r="E6" s="13">
        <v>214</v>
      </c>
      <c r="F6" s="13">
        <v>1546</v>
      </c>
      <c r="J6" s="15" t="s">
        <v>2563</v>
      </c>
      <c r="K6" s="13">
        <v>317</v>
      </c>
    </row>
    <row r="7" spans="1:11" x14ac:dyDescent="0.3">
      <c r="A7" s="15" t="s">
        <v>26</v>
      </c>
      <c r="B7" s="13">
        <v>627</v>
      </c>
      <c r="C7" s="13">
        <v>393</v>
      </c>
      <c r="D7" s="13">
        <v>29</v>
      </c>
      <c r="E7" s="13">
        <v>137</v>
      </c>
      <c r="F7" s="13">
        <v>1186</v>
      </c>
      <c r="J7" s="15" t="s">
        <v>2564</v>
      </c>
      <c r="K7" s="13">
        <v>736</v>
      </c>
    </row>
    <row r="8" spans="1:11" x14ac:dyDescent="0.3">
      <c r="A8" s="15" t="s">
        <v>22</v>
      </c>
      <c r="B8" s="13">
        <v>568</v>
      </c>
      <c r="C8" s="13">
        <v>306</v>
      </c>
      <c r="D8" s="13">
        <v>22</v>
      </c>
      <c r="E8" s="13">
        <v>16</v>
      </c>
      <c r="F8" s="13">
        <v>912</v>
      </c>
      <c r="J8" s="15" t="s">
        <v>2550</v>
      </c>
      <c r="K8" s="13">
        <v>11997</v>
      </c>
    </row>
    <row r="9" spans="1:11" x14ac:dyDescent="0.3">
      <c r="A9" s="15" t="s">
        <v>54</v>
      </c>
      <c r="B9" s="13">
        <v>482</v>
      </c>
      <c r="C9" s="13">
        <v>295</v>
      </c>
      <c r="D9" s="13">
        <v>8</v>
      </c>
      <c r="E9" s="13">
        <v>22</v>
      </c>
      <c r="F9" s="13">
        <v>807</v>
      </c>
    </row>
    <row r="10" spans="1:11" x14ac:dyDescent="0.3">
      <c r="A10" s="15" t="s">
        <v>16</v>
      </c>
      <c r="B10" s="13">
        <v>428</v>
      </c>
      <c r="C10" s="13">
        <v>293</v>
      </c>
      <c r="D10" s="13"/>
      <c r="E10" s="13">
        <v>24</v>
      </c>
      <c r="F10" s="13">
        <v>745</v>
      </c>
    </row>
    <row r="11" spans="1:11" x14ac:dyDescent="0.3">
      <c r="A11" s="15" t="s">
        <v>46</v>
      </c>
      <c r="B11" s="13">
        <v>445</v>
      </c>
      <c r="C11" s="13">
        <v>202</v>
      </c>
      <c r="D11" s="13">
        <v>14</v>
      </c>
      <c r="E11" s="13">
        <v>39</v>
      </c>
      <c r="F11" s="13">
        <v>700</v>
      </c>
    </row>
    <row r="12" spans="1:11" x14ac:dyDescent="0.3">
      <c r="A12" s="15" t="s">
        <v>32</v>
      </c>
      <c r="B12" s="13">
        <v>431</v>
      </c>
      <c r="C12" s="13">
        <v>187</v>
      </c>
      <c r="D12" s="13">
        <v>14</v>
      </c>
      <c r="E12" s="13">
        <v>15</v>
      </c>
      <c r="F12" s="13">
        <v>647</v>
      </c>
    </row>
    <row r="13" spans="1:11" x14ac:dyDescent="0.3">
      <c r="A13" s="15" t="s">
        <v>42</v>
      </c>
      <c r="B13" s="13">
        <v>264</v>
      </c>
      <c r="C13" s="13">
        <v>318</v>
      </c>
      <c r="D13" s="13">
        <v>15</v>
      </c>
      <c r="E13" s="13">
        <v>9</v>
      </c>
      <c r="F13" s="13">
        <v>606</v>
      </c>
    </row>
    <row r="14" spans="1:11" x14ac:dyDescent="0.3">
      <c r="A14" s="15" t="s">
        <v>37</v>
      </c>
      <c r="B14" s="13">
        <v>296</v>
      </c>
      <c r="C14" s="13">
        <v>275</v>
      </c>
      <c r="D14" s="13">
        <v>9</v>
      </c>
      <c r="E14" s="13">
        <v>23</v>
      </c>
      <c r="F14" s="13">
        <v>603</v>
      </c>
    </row>
    <row r="15" spans="1:11" x14ac:dyDescent="0.3">
      <c r="A15" s="15" t="s">
        <v>123</v>
      </c>
      <c r="B15" s="13">
        <v>153</v>
      </c>
      <c r="C15" s="13">
        <v>246</v>
      </c>
      <c r="D15" s="13">
        <v>30</v>
      </c>
      <c r="E15" s="13">
        <v>8</v>
      </c>
      <c r="F15" s="13">
        <v>437</v>
      </c>
    </row>
    <row r="16" spans="1:11" x14ac:dyDescent="0.3">
      <c r="A16" s="15" t="s">
        <v>146</v>
      </c>
      <c r="B16" s="13">
        <v>189</v>
      </c>
      <c r="C16" s="13">
        <v>168</v>
      </c>
      <c r="D16" s="13">
        <v>10</v>
      </c>
      <c r="E16" s="13">
        <v>31</v>
      </c>
      <c r="F16" s="13">
        <v>398</v>
      </c>
    </row>
    <row r="17" spans="1:6" x14ac:dyDescent="0.3">
      <c r="A17" s="15" t="s">
        <v>69</v>
      </c>
      <c r="B17" s="13">
        <v>234</v>
      </c>
      <c r="C17" s="13">
        <v>93</v>
      </c>
      <c r="D17" s="13">
        <v>19</v>
      </c>
      <c r="E17" s="13">
        <v>24</v>
      </c>
      <c r="F17" s="13">
        <v>370</v>
      </c>
    </row>
    <row r="18" spans="1:6" x14ac:dyDescent="0.3">
      <c r="A18" s="15" t="s">
        <v>30</v>
      </c>
      <c r="B18" s="13">
        <v>146</v>
      </c>
      <c r="C18" s="13">
        <v>94</v>
      </c>
      <c r="D18" s="13">
        <v>4</v>
      </c>
      <c r="E18" s="13">
        <v>28</v>
      </c>
      <c r="F18" s="13">
        <v>272</v>
      </c>
    </row>
    <row r="19" spans="1:6" x14ac:dyDescent="0.3">
      <c r="A19" s="15" t="s">
        <v>135</v>
      </c>
      <c r="B19" s="13">
        <v>127</v>
      </c>
      <c r="C19" s="13">
        <v>118</v>
      </c>
      <c r="D19" s="13">
        <v>13</v>
      </c>
      <c r="E19" s="13">
        <v>12</v>
      </c>
      <c r="F19" s="13">
        <v>270</v>
      </c>
    </row>
    <row r="20" spans="1:6" x14ac:dyDescent="0.3">
      <c r="A20" s="15" t="s">
        <v>67</v>
      </c>
      <c r="B20" s="13">
        <v>179</v>
      </c>
      <c r="C20" s="13">
        <v>76</v>
      </c>
      <c r="D20" s="13">
        <v>3</v>
      </c>
      <c r="E20" s="13"/>
      <c r="F20" s="13">
        <v>258</v>
      </c>
    </row>
    <row r="21" spans="1:6" x14ac:dyDescent="0.3">
      <c r="A21" s="15" t="s">
        <v>128</v>
      </c>
      <c r="B21" s="13">
        <v>99</v>
      </c>
      <c r="C21" s="13">
        <v>69</v>
      </c>
      <c r="D21" s="13">
        <v>3</v>
      </c>
      <c r="E21" s="13">
        <v>24</v>
      </c>
      <c r="F21" s="13">
        <v>195</v>
      </c>
    </row>
    <row r="22" spans="1:6" x14ac:dyDescent="0.3">
      <c r="A22" s="15" t="s">
        <v>76</v>
      </c>
      <c r="B22" s="13">
        <v>75</v>
      </c>
      <c r="C22" s="13">
        <v>103</v>
      </c>
      <c r="D22" s="13">
        <v>4</v>
      </c>
      <c r="E22" s="13">
        <v>6</v>
      </c>
      <c r="F22" s="13">
        <v>188</v>
      </c>
    </row>
    <row r="23" spans="1:6" x14ac:dyDescent="0.3">
      <c r="A23" s="15" t="s">
        <v>81</v>
      </c>
      <c r="B23" s="13">
        <v>43</v>
      </c>
      <c r="C23" s="13">
        <v>90</v>
      </c>
      <c r="D23" s="13">
        <v>8</v>
      </c>
      <c r="E23" s="13">
        <v>6</v>
      </c>
      <c r="F23" s="13">
        <v>147</v>
      </c>
    </row>
    <row r="24" spans="1:6" x14ac:dyDescent="0.3">
      <c r="A24" s="15" t="s">
        <v>171</v>
      </c>
      <c r="B24" s="13">
        <v>26</v>
      </c>
      <c r="C24" s="13">
        <v>35</v>
      </c>
      <c r="D24" s="13">
        <v>4</v>
      </c>
      <c r="E24" s="13"/>
      <c r="F24" s="13">
        <v>65</v>
      </c>
    </row>
    <row r="25" spans="1:6" x14ac:dyDescent="0.3">
      <c r="A25" s="15" t="s">
        <v>2550</v>
      </c>
      <c r="B25" s="13">
        <v>6272</v>
      </c>
      <c r="C25" s="13">
        <v>4672</v>
      </c>
      <c r="D25" s="13">
        <v>317</v>
      </c>
      <c r="E25" s="13">
        <v>736</v>
      </c>
      <c r="F25" s="13">
        <v>11997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931CB-0475-41B3-B17B-5D790024BE54}">
  <dimension ref="A2:B19"/>
  <sheetViews>
    <sheetView workbookViewId="0">
      <selection activeCell="A2" sqref="A2"/>
    </sheetView>
  </sheetViews>
  <sheetFormatPr defaultRowHeight="14.4" x14ac:dyDescent="0.3"/>
  <cols>
    <col min="1" max="1" width="12.44140625" bestFit="1" customWidth="1"/>
    <col min="2" max="2" width="12.21875" bestFit="1" customWidth="1"/>
  </cols>
  <sheetData>
    <row r="2" spans="1:2" x14ac:dyDescent="0.3">
      <c r="A2" s="22" t="s">
        <v>2570</v>
      </c>
    </row>
    <row r="3" spans="1:2" x14ac:dyDescent="0.3">
      <c r="A3" s="14" t="s">
        <v>2549</v>
      </c>
      <c r="B3" t="s">
        <v>2552</v>
      </c>
    </row>
    <row r="4" spans="1:2" x14ac:dyDescent="0.3">
      <c r="A4" s="15">
        <v>0</v>
      </c>
      <c r="B4" s="13">
        <v>175</v>
      </c>
    </row>
    <row r="5" spans="1:2" x14ac:dyDescent="0.3">
      <c r="A5" s="15">
        <v>1</v>
      </c>
      <c r="B5" s="13">
        <v>888</v>
      </c>
    </row>
    <row r="6" spans="1:2" x14ac:dyDescent="0.3">
      <c r="A6" s="15">
        <v>2</v>
      </c>
      <c r="B6" s="13">
        <v>538</v>
      </c>
    </row>
    <row r="7" spans="1:2" x14ac:dyDescent="0.3">
      <c r="A7" s="15">
        <v>3</v>
      </c>
      <c r="B7" s="13">
        <v>344</v>
      </c>
    </row>
    <row r="8" spans="1:2" x14ac:dyDescent="0.3">
      <c r="A8" s="15">
        <v>4</v>
      </c>
      <c r="B8" s="13">
        <v>200</v>
      </c>
    </row>
    <row r="9" spans="1:2" x14ac:dyDescent="0.3">
      <c r="A9" s="15">
        <v>5</v>
      </c>
      <c r="B9" s="13">
        <v>94</v>
      </c>
    </row>
    <row r="10" spans="1:2" x14ac:dyDescent="0.3">
      <c r="A10" s="15">
        <v>6</v>
      </c>
      <c r="B10" s="13">
        <v>51</v>
      </c>
    </row>
    <row r="11" spans="1:2" x14ac:dyDescent="0.3">
      <c r="A11" s="15">
        <v>7</v>
      </c>
      <c r="B11" s="13">
        <v>32</v>
      </c>
    </row>
    <row r="12" spans="1:2" x14ac:dyDescent="0.3">
      <c r="A12" s="15">
        <v>8</v>
      </c>
      <c r="B12" s="13">
        <v>23</v>
      </c>
    </row>
    <row r="13" spans="1:2" x14ac:dyDescent="0.3">
      <c r="A13" s="15">
        <v>9</v>
      </c>
      <c r="B13" s="13">
        <v>9</v>
      </c>
    </row>
    <row r="14" spans="1:2" x14ac:dyDescent="0.3">
      <c r="A14" s="15">
        <v>10</v>
      </c>
      <c r="B14" s="13">
        <v>8</v>
      </c>
    </row>
    <row r="15" spans="1:2" x14ac:dyDescent="0.3">
      <c r="A15" s="15">
        <v>11</v>
      </c>
      <c r="B15" s="13">
        <v>11</v>
      </c>
    </row>
    <row r="16" spans="1:2" x14ac:dyDescent="0.3">
      <c r="A16" s="15">
        <v>12</v>
      </c>
      <c r="B16" s="13">
        <v>4</v>
      </c>
    </row>
    <row r="17" spans="1:2" x14ac:dyDescent="0.3">
      <c r="A17" s="15">
        <v>13</v>
      </c>
      <c r="B17" s="13">
        <v>10</v>
      </c>
    </row>
    <row r="18" spans="1:2" x14ac:dyDescent="0.3">
      <c r="A18" s="15">
        <v>14</v>
      </c>
      <c r="B18" s="13">
        <v>13</v>
      </c>
    </row>
    <row r="19" spans="1:2" x14ac:dyDescent="0.3">
      <c r="A19" s="15" t="s">
        <v>2550</v>
      </c>
      <c r="B19" s="13">
        <v>2400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A1287-F4A4-4925-B74F-1CCF1DA7E127}">
  <dimension ref="A2:G8"/>
  <sheetViews>
    <sheetView workbookViewId="0">
      <selection activeCell="AB10" sqref="AB10"/>
    </sheetView>
  </sheetViews>
  <sheetFormatPr defaultRowHeight="14.4" x14ac:dyDescent="0.3"/>
  <cols>
    <col min="1" max="1" width="12.44140625" bestFit="1" customWidth="1"/>
    <col min="2" max="2" width="15.5546875" bestFit="1" customWidth="1"/>
    <col min="3" max="4" width="4" bestFit="1" customWidth="1"/>
    <col min="5" max="5" width="5" bestFit="1" customWidth="1"/>
    <col min="6" max="6" width="4" bestFit="1" customWidth="1"/>
    <col min="7" max="7" width="10.5546875" bestFit="1" customWidth="1"/>
    <col min="8" max="32" width="9" bestFit="1" customWidth="1"/>
    <col min="33" max="89" width="9.44140625" bestFit="1" customWidth="1"/>
    <col min="90" max="90" width="10.5546875" bestFit="1" customWidth="1"/>
  </cols>
  <sheetData>
    <row r="2" spans="1:7" x14ac:dyDescent="0.3">
      <c r="A2" s="22" t="s">
        <v>2571</v>
      </c>
    </row>
    <row r="3" spans="1:7" x14ac:dyDescent="0.3">
      <c r="A3" s="14" t="s">
        <v>2552</v>
      </c>
      <c r="B3" s="14" t="s">
        <v>2560</v>
      </c>
    </row>
    <row r="4" spans="1:7" x14ac:dyDescent="0.3">
      <c r="A4" s="14" t="s">
        <v>2549</v>
      </c>
      <c r="B4">
        <v>1</v>
      </c>
      <c r="C4">
        <v>2</v>
      </c>
      <c r="D4">
        <v>3</v>
      </c>
      <c r="E4">
        <v>4</v>
      </c>
      <c r="F4">
        <v>5</v>
      </c>
      <c r="G4" t="s">
        <v>2550</v>
      </c>
    </row>
    <row r="5" spans="1:7" x14ac:dyDescent="0.3">
      <c r="A5" s="15" t="s">
        <v>2572</v>
      </c>
      <c r="B5" s="13">
        <v>7</v>
      </c>
      <c r="C5" s="13">
        <v>37</v>
      </c>
      <c r="D5" s="13">
        <v>150</v>
      </c>
      <c r="E5" s="13">
        <v>312</v>
      </c>
      <c r="F5" s="13">
        <v>224</v>
      </c>
      <c r="G5" s="13">
        <v>730</v>
      </c>
    </row>
    <row r="6" spans="1:7" x14ac:dyDescent="0.3">
      <c r="A6" s="15" t="s">
        <v>2573</v>
      </c>
      <c r="B6" s="13">
        <v>8</v>
      </c>
      <c r="C6" s="13">
        <v>51</v>
      </c>
      <c r="D6" s="13">
        <v>182</v>
      </c>
      <c r="E6" s="13">
        <v>373</v>
      </c>
      <c r="F6" s="13">
        <v>247</v>
      </c>
      <c r="G6" s="13">
        <v>861</v>
      </c>
    </row>
    <row r="7" spans="1:7" x14ac:dyDescent="0.3">
      <c r="A7" s="15" t="s">
        <v>2574</v>
      </c>
      <c r="B7" s="13">
        <v>6</v>
      </c>
      <c r="C7" s="13">
        <v>39</v>
      </c>
      <c r="D7" s="13">
        <v>163</v>
      </c>
      <c r="E7" s="13">
        <v>351</v>
      </c>
      <c r="F7" s="13">
        <v>250</v>
      </c>
      <c r="G7" s="13">
        <v>809</v>
      </c>
    </row>
    <row r="8" spans="1:7" x14ac:dyDescent="0.3">
      <c r="A8" s="15" t="s">
        <v>2550</v>
      </c>
      <c r="B8" s="13">
        <v>21</v>
      </c>
      <c r="C8" s="13">
        <v>127</v>
      </c>
      <c r="D8" s="13">
        <v>495</v>
      </c>
      <c r="E8" s="13">
        <v>1036</v>
      </c>
      <c r="F8" s="13">
        <v>721</v>
      </c>
      <c r="G8" s="13">
        <v>2400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952B-5F43-489C-95FC-F13B7977FA8B}">
  <dimension ref="A2:N61"/>
  <sheetViews>
    <sheetView topLeftCell="B33" zoomScale="90" zoomScaleNormal="90" workbookViewId="0">
      <selection activeCell="L3" sqref="L3:N61"/>
    </sheetView>
  </sheetViews>
  <sheetFormatPr defaultRowHeight="14.4" x14ac:dyDescent="0.3"/>
  <cols>
    <col min="1" max="1" width="22.77734375" bestFit="1" customWidth="1"/>
    <col min="2" max="2" width="21.5546875" bestFit="1" customWidth="1"/>
    <col min="3" max="3" width="14.88671875" bestFit="1" customWidth="1"/>
    <col min="4" max="4" width="14.33203125" bestFit="1" customWidth="1"/>
    <col min="7" max="7" width="9.109375" bestFit="1" customWidth="1"/>
    <col min="8" max="8" width="19.6640625" bestFit="1" customWidth="1"/>
    <col min="9" max="9" width="14.21875" bestFit="1" customWidth="1"/>
    <col min="12" max="12" width="10.77734375" bestFit="1" customWidth="1"/>
    <col min="13" max="13" width="19.6640625" bestFit="1" customWidth="1"/>
    <col min="14" max="15" width="13.5546875" bestFit="1" customWidth="1"/>
  </cols>
  <sheetData>
    <row r="2" spans="1:14" x14ac:dyDescent="0.3">
      <c r="A2" t="s">
        <v>2577</v>
      </c>
      <c r="G2" t="s">
        <v>2569</v>
      </c>
      <c r="L2" t="s">
        <v>2578</v>
      </c>
    </row>
    <row r="3" spans="1:14" x14ac:dyDescent="0.3">
      <c r="A3" s="14" t="s">
        <v>10</v>
      </c>
      <c r="B3" s="14" t="s">
        <v>11</v>
      </c>
      <c r="C3" t="s">
        <v>2553</v>
      </c>
      <c r="D3" t="s">
        <v>2551</v>
      </c>
      <c r="G3" t="s">
        <v>10</v>
      </c>
      <c r="H3" t="s">
        <v>11</v>
      </c>
      <c r="I3" t="s">
        <v>2556</v>
      </c>
      <c r="L3" t="s">
        <v>10</v>
      </c>
      <c r="M3" t="s">
        <v>11</v>
      </c>
      <c r="N3" t="s">
        <v>4</v>
      </c>
    </row>
    <row r="4" spans="1:14" x14ac:dyDescent="0.3">
      <c r="A4" t="s">
        <v>19</v>
      </c>
      <c r="B4" t="s">
        <v>115</v>
      </c>
      <c r="C4" s="13">
        <v>579</v>
      </c>
      <c r="D4" s="13">
        <v>31884.999999999996</v>
      </c>
      <c r="G4" t="s">
        <v>19</v>
      </c>
      <c r="H4" t="s">
        <v>115</v>
      </c>
      <c r="I4">
        <v>579</v>
      </c>
      <c r="L4" t="s">
        <v>19</v>
      </c>
      <c r="M4" t="s">
        <v>115</v>
      </c>
      <c r="N4">
        <v>31884.999999999996</v>
      </c>
    </row>
    <row r="5" spans="1:14" x14ac:dyDescent="0.3">
      <c r="A5" t="s">
        <v>19</v>
      </c>
      <c r="B5" t="s">
        <v>20</v>
      </c>
      <c r="C5" s="13">
        <v>1</v>
      </c>
      <c r="D5" s="13">
        <v>10.9</v>
      </c>
      <c r="G5" t="s">
        <v>19</v>
      </c>
      <c r="H5" t="s">
        <v>20</v>
      </c>
      <c r="I5">
        <v>1</v>
      </c>
      <c r="L5" t="s">
        <v>19</v>
      </c>
      <c r="M5" t="s">
        <v>20</v>
      </c>
      <c r="N5">
        <v>10.9</v>
      </c>
    </row>
    <row r="6" spans="1:14" x14ac:dyDescent="0.3">
      <c r="A6" t="s">
        <v>19</v>
      </c>
      <c r="B6" t="s">
        <v>641</v>
      </c>
      <c r="C6" s="13">
        <v>9</v>
      </c>
      <c r="D6" s="13">
        <v>800.3</v>
      </c>
      <c r="G6" t="s">
        <v>19</v>
      </c>
      <c r="H6" t="s">
        <v>641</v>
      </c>
      <c r="I6">
        <v>9</v>
      </c>
      <c r="L6" t="s">
        <v>19</v>
      </c>
      <c r="M6" t="s">
        <v>641</v>
      </c>
      <c r="N6">
        <v>800.3</v>
      </c>
    </row>
    <row r="7" spans="1:14" x14ac:dyDescent="0.3">
      <c r="A7" t="s">
        <v>19</v>
      </c>
      <c r="B7" t="s">
        <v>967</v>
      </c>
      <c r="C7" s="13">
        <v>35</v>
      </c>
      <c r="D7" s="13">
        <v>1062.5999999999999</v>
      </c>
      <c r="G7" t="s">
        <v>19</v>
      </c>
      <c r="H7" t="s">
        <v>967</v>
      </c>
      <c r="I7">
        <v>35</v>
      </c>
      <c r="L7" t="s">
        <v>19</v>
      </c>
      <c r="M7" t="s">
        <v>967</v>
      </c>
      <c r="N7">
        <v>1062.5999999999999</v>
      </c>
    </row>
    <row r="8" spans="1:14" x14ac:dyDescent="0.3">
      <c r="A8" t="s">
        <v>19</v>
      </c>
      <c r="B8" t="s">
        <v>84</v>
      </c>
      <c r="C8" s="13">
        <v>12</v>
      </c>
      <c r="D8" s="13">
        <v>326.20000000000005</v>
      </c>
      <c r="G8" t="s">
        <v>19</v>
      </c>
      <c r="H8" t="s">
        <v>84</v>
      </c>
      <c r="I8">
        <v>12</v>
      </c>
      <c r="L8" t="s">
        <v>19</v>
      </c>
      <c r="M8" t="s">
        <v>84</v>
      </c>
      <c r="N8">
        <v>326.20000000000005</v>
      </c>
    </row>
    <row r="9" spans="1:14" x14ac:dyDescent="0.3">
      <c r="A9" t="s">
        <v>19</v>
      </c>
      <c r="B9" t="s">
        <v>1383</v>
      </c>
      <c r="C9" s="13">
        <v>4</v>
      </c>
      <c r="D9" s="13">
        <v>167.5</v>
      </c>
      <c r="G9" t="s">
        <v>19</v>
      </c>
      <c r="H9" t="s">
        <v>1383</v>
      </c>
      <c r="I9">
        <v>4</v>
      </c>
      <c r="L9" t="s">
        <v>19</v>
      </c>
      <c r="M9" t="s">
        <v>1383</v>
      </c>
      <c r="N9">
        <v>167.5</v>
      </c>
    </row>
    <row r="10" spans="1:14" x14ac:dyDescent="0.3">
      <c r="A10" t="s">
        <v>19</v>
      </c>
      <c r="B10" t="s">
        <v>24</v>
      </c>
      <c r="C10" s="13">
        <v>341</v>
      </c>
      <c r="D10" s="13">
        <v>16168.7</v>
      </c>
      <c r="G10" t="s">
        <v>19</v>
      </c>
      <c r="H10" t="s">
        <v>24</v>
      </c>
      <c r="I10">
        <v>341</v>
      </c>
      <c r="L10" t="s">
        <v>19</v>
      </c>
      <c r="M10" t="s">
        <v>24</v>
      </c>
      <c r="N10">
        <v>16168.7</v>
      </c>
    </row>
    <row r="11" spans="1:14" x14ac:dyDescent="0.3">
      <c r="A11" t="s">
        <v>19</v>
      </c>
      <c r="B11" t="s">
        <v>2204</v>
      </c>
      <c r="C11" s="13">
        <v>13</v>
      </c>
      <c r="D11" s="13">
        <v>322.40000000000003</v>
      </c>
      <c r="G11" t="s">
        <v>19</v>
      </c>
      <c r="H11" t="s">
        <v>2204</v>
      </c>
      <c r="I11">
        <v>13</v>
      </c>
      <c r="L11" t="s">
        <v>19</v>
      </c>
      <c r="M11" t="s">
        <v>2204</v>
      </c>
      <c r="N11">
        <v>322.40000000000003</v>
      </c>
    </row>
    <row r="12" spans="1:14" x14ac:dyDescent="0.3">
      <c r="A12" t="s">
        <v>19</v>
      </c>
      <c r="B12" t="s">
        <v>437</v>
      </c>
      <c r="C12" s="13">
        <v>31</v>
      </c>
      <c r="D12" s="13">
        <v>2092.8000000000002</v>
      </c>
      <c r="G12" t="s">
        <v>19</v>
      </c>
      <c r="H12" t="s">
        <v>437</v>
      </c>
      <c r="I12">
        <v>31</v>
      </c>
      <c r="L12" t="s">
        <v>19</v>
      </c>
      <c r="M12" t="s">
        <v>437</v>
      </c>
      <c r="N12">
        <v>2092.8000000000002</v>
      </c>
    </row>
    <row r="13" spans="1:14" x14ac:dyDescent="0.3">
      <c r="A13" t="s">
        <v>19</v>
      </c>
      <c r="B13" t="s">
        <v>28</v>
      </c>
      <c r="C13" s="13">
        <v>279</v>
      </c>
      <c r="D13" s="13">
        <v>12662.500000000002</v>
      </c>
      <c r="G13" t="s">
        <v>19</v>
      </c>
      <c r="H13" t="s">
        <v>28</v>
      </c>
      <c r="I13">
        <v>279</v>
      </c>
      <c r="L13" t="s">
        <v>19</v>
      </c>
      <c r="M13" t="s">
        <v>28</v>
      </c>
      <c r="N13">
        <v>12662.500000000002</v>
      </c>
    </row>
    <row r="14" spans="1:14" x14ac:dyDescent="0.3">
      <c r="A14" t="s">
        <v>19</v>
      </c>
      <c r="B14" t="s">
        <v>208</v>
      </c>
      <c r="C14" s="13">
        <v>9</v>
      </c>
      <c r="D14" s="13">
        <v>343.2</v>
      </c>
      <c r="G14" t="s">
        <v>19</v>
      </c>
      <c r="H14" t="s">
        <v>208</v>
      </c>
      <c r="I14">
        <v>9</v>
      </c>
      <c r="L14" t="s">
        <v>19</v>
      </c>
      <c r="M14" t="s">
        <v>208</v>
      </c>
      <c r="N14">
        <v>343.2</v>
      </c>
    </row>
    <row r="15" spans="1:14" x14ac:dyDescent="0.3">
      <c r="A15" t="s">
        <v>19</v>
      </c>
      <c r="B15" t="s">
        <v>587</v>
      </c>
      <c r="C15" s="13">
        <v>49</v>
      </c>
      <c r="D15" s="13">
        <v>2188.2999999999997</v>
      </c>
      <c r="G15" t="s">
        <v>19</v>
      </c>
      <c r="H15" t="s">
        <v>587</v>
      </c>
      <c r="I15">
        <v>49</v>
      </c>
      <c r="L15" t="s">
        <v>19</v>
      </c>
      <c r="M15" t="s">
        <v>587</v>
      </c>
      <c r="N15">
        <v>2188.2999999999997</v>
      </c>
    </row>
    <row r="16" spans="1:14" x14ac:dyDescent="0.3">
      <c r="A16" t="s">
        <v>19</v>
      </c>
      <c r="B16" t="s">
        <v>331</v>
      </c>
      <c r="C16" s="13">
        <v>59</v>
      </c>
      <c r="D16" s="13">
        <v>2661.5999999999995</v>
      </c>
      <c r="G16" t="s">
        <v>19</v>
      </c>
      <c r="H16" t="s">
        <v>331</v>
      </c>
      <c r="I16">
        <v>59</v>
      </c>
      <c r="L16" t="s">
        <v>19</v>
      </c>
      <c r="M16" t="s">
        <v>331</v>
      </c>
      <c r="N16">
        <v>2661.5999999999995</v>
      </c>
    </row>
    <row r="17" spans="1:14" x14ac:dyDescent="0.3">
      <c r="A17" t="s">
        <v>19</v>
      </c>
      <c r="B17" t="s">
        <v>86</v>
      </c>
      <c r="C17" s="13">
        <v>8</v>
      </c>
      <c r="D17" s="13">
        <v>887.5</v>
      </c>
      <c r="G17" t="s">
        <v>19</v>
      </c>
      <c r="H17" t="s">
        <v>86</v>
      </c>
      <c r="I17">
        <v>8</v>
      </c>
      <c r="L17" t="s">
        <v>19</v>
      </c>
      <c r="M17" t="s">
        <v>86</v>
      </c>
      <c r="N17">
        <v>887.5</v>
      </c>
    </row>
    <row r="18" spans="1:14" x14ac:dyDescent="0.3">
      <c r="A18" t="s">
        <v>19</v>
      </c>
      <c r="B18" t="s">
        <v>147</v>
      </c>
      <c r="C18" s="13">
        <v>222</v>
      </c>
      <c r="D18" s="13">
        <v>11354.199999999993</v>
      </c>
      <c r="G18" t="s">
        <v>19</v>
      </c>
      <c r="H18" t="s">
        <v>147</v>
      </c>
      <c r="I18">
        <v>222</v>
      </c>
      <c r="L18" t="s">
        <v>19</v>
      </c>
      <c r="M18" t="s">
        <v>147</v>
      </c>
      <c r="N18">
        <v>11354.199999999993</v>
      </c>
    </row>
    <row r="19" spans="1:14" x14ac:dyDescent="0.3">
      <c r="A19" t="s">
        <v>19</v>
      </c>
      <c r="B19" t="s">
        <v>334</v>
      </c>
      <c r="C19" s="13">
        <v>36</v>
      </c>
      <c r="D19" s="13">
        <v>1558.4</v>
      </c>
      <c r="G19" t="s">
        <v>19</v>
      </c>
      <c r="H19" t="s">
        <v>334</v>
      </c>
      <c r="I19">
        <v>36</v>
      </c>
      <c r="L19" t="s">
        <v>19</v>
      </c>
      <c r="M19" t="s">
        <v>334</v>
      </c>
      <c r="N19">
        <v>1558.4</v>
      </c>
    </row>
    <row r="20" spans="1:14" x14ac:dyDescent="0.3">
      <c r="A20" t="s">
        <v>19</v>
      </c>
      <c r="B20" t="s">
        <v>949</v>
      </c>
      <c r="C20" s="13">
        <v>30</v>
      </c>
      <c r="D20" s="13">
        <v>2223.9</v>
      </c>
      <c r="G20" t="s">
        <v>19</v>
      </c>
      <c r="H20" t="s">
        <v>949</v>
      </c>
      <c r="I20">
        <v>30</v>
      </c>
      <c r="L20" t="s">
        <v>19</v>
      </c>
      <c r="M20" t="s">
        <v>949</v>
      </c>
      <c r="N20">
        <v>2223.9</v>
      </c>
    </row>
    <row r="21" spans="1:14" x14ac:dyDescent="0.3">
      <c r="A21" t="s">
        <v>19</v>
      </c>
      <c r="B21" t="s">
        <v>1426</v>
      </c>
      <c r="C21" s="13">
        <v>1</v>
      </c>
      <c r="D21" s="13">
        <v>26.2</v>
      </c>
      <c r="G21" t="s">
        <v>19</v>
      </c>
      <c r="H21" t="s">
        <v>1426</v>
      </c>
      <c r="I21">
        <v>1</v>
      </c>
      <c r="L21" t="s">
        <v>19</v>
      </c>
      <c r="M21" t="s">
        <v>1426</v>
      </c>
      <c r="N21">
        <v>26.2</v>
      </c>
    </row>
    <row r="22" spans="1:14" x14ac:dyDescent="0.3">
      <c r="A22" t="s">
        <v>19</v>
      </c>
      <c r="B22" t="s">
        <v>33</v>
      </c>
      <c r="C22" s="13">
        <v>3991</v>
      </c>
      <c r="D22" s="13">
        <v>215551.19999999981</v>
      </c>
      <c r="G22" t="s">
        <v>19</v>
      </c>
      <c r="H22" t="s">
        <v>33</v>
      </c>
      <c r="I22">
        <v>3991</v>
      </c>
      <c r="L22" t="s">
        <v>19</v>
      </c>
      <c r="M22" t="s">
        <v>33</v>
      </c>
      <c r="N22">
        <v>215551.19999999981</v>
      </c>
    </row>
    <row r="23" spans="1:14" x14ac:dyDescent="0.3">
      <c r="A23" t="s">
        <v>19</v>
      </c>
      <c r="B23" t="s">
        <v>364</v>
      </c>
      <c r="C23" s="13">
        <v>45</v>
      </c>
      <c r="D23" s="13">
        <v>2687.3999999999996</v>
      </c>
      <c r="G23" t="s">
        <v>19</v>
      </c>
      <c r="H23" t="s">
        <v>364</v>
      </c>
      <c r="I23">
        <v>45</v>
      </c>
      <c r="L23" t="s">
        <v>19</v>
      </c>
      <c r="M23" t="s">
        <v>364</v>
      </c>
      <c r="N23">
        <v>2687.3999999999996</v>
      </c>
    </row>
    <row r="24" spans="1:14" x14ac:dyDescent="0.3">
      <c r="A24" t="s">
        <v>19</v>
      </c>
      <c r="B24" t="s">
        <v>545</v>
      </c>
      <c r="C24" s="13">
        <v>39</v>
      </c>
      <c r="D24" s="13">
        <v>1463.3000000000002</v>
      </c>
      <c r="G24" t="s">
        <v>19</v>
      </c>
      <c r="H24" t="s">
        <v>545</v>
      </c>
      <c r="I24">
        <v>39</v>
      </c>
      <c r="L24" t="s">
        <v>19</v>
      </c>
      <c r="M24" t="s">
        <v>545</v>
      </c>
      <c r="N24">
        <v>1463.3000000000002</v>
      </c>
    </row>
    <row r="25" spans="1:14" x14ac:dyDescent="0.3">
      <c r="A25" t="s">
        <v>19</v>
      </c>
      <c r="B25" t="s">
        <v>416</v>
      </c>
      <c r="C25" s="13">
        <v>6</v>
      </c>
      <c r="D25" s="13">
        <v>445.79999999999995</v>
      </c>
      <c r="G25" t="s">
        <v>19</v>
      </c>
      <c r="H25" t="s">
        <v>416</v>
      </c>
      <c r="I25">
        <v>6</v>
      </c>
      <c r="L25" t="s">
        <v>19</v>
      </c>
      <c r="M25" t="s">
        <v>416</v>
      </c>
      <c r="N25">
        <v>445.79999999999995</v>
      </c>
    </row>
    <row r="26" spans="1:14" x14ac:dyDescent="0.3">
      <c r="A26" t="s">
        <v>19</v>
      </c>
      <c r="B26" t="s">
        <v>258</v>
      </c>
      <c r="C26" s="13">
        <v>9</v>
      </c>
      <c r="D26" s="13">
        <v>273.59999999999997</v>
      </c>
      <c r="G26" t="s">
        <v>19</v>
      </c>
      <c r="H26" t="s">
        <v>258</v>
      </c>
      <c r="I26">
        <v>9</v>
      </c>
      <c r="L26" t="s">
        <v>19</v>
      </c>
      <c r="M26" t="s">
        <v>258</v>
      </c>
      <c r="N26">
        <v>273.59999999999997</v>
      </c>
    </row>
    <row r="27" spans="1:14" x14ac:dyDescent="0.3">
      <c r="A27" t="s">
        <v>19</v>
      </c>
      <c r="B27" t="s">
        <v>186</v>
      </c>
      <c r="C27" s="13">
        <v>60</v>
      </c>
      <c r="D27" s="13">
        <v>2690.4</v>
      </c>
      <c r="G27" t="s">
        <v>19</v>
      </c>
      <c r="H27" t="s">
        <v>186</v>
      </c>
      <c r="I27">
        <v>60</v>
      </c>
      <c r="L27" t="s">
        <v>19</v>
      </c>
      <c r="M27" t="s">
        <v>186</v>
      </c>
      <c r="N27">
        <v>2690.4</v>
      </c>
    </row>
    <row r="28" spans="1:14" x14ac:dyDescent="0.3">
      <c r="A28" t="s">
        <v>19</v>
      </c>
      <c r="B28" t="s">
        <v>392</v>
      </c>
      <c r="C28" s="13">
        <v>2</v>
      </c>
      <c r="D28" s="13">
        <v>28.4</v>
      </c>
      <c r="G28" t="s">
        <v>19</v>
      </c>
      <c r="H28" t="s">
        <v>392</v>
      </c>
      <c r="I28">
        <v>2</v>
      </c>
      <c r="L28" t="s">
        <v>19</v>
      </c>
      <c r="M28" t="s">
        <v>392</v>
      </c>
      <c r="N28">
        <v>28.4</v>
      </c>
    </row>
    <row r="29" spans="1:14" x14ac:dyDescent="0.3">
      <c r="A29" t="s">
        <v>19</v>
      </c>
      <c r="B29" t="s">
        <v>670</v>
      </c>
      <c r="C29" s="13">
        <v>4</v>
      </c>
      <c r="D29" s="13">
        <v>204.8</v>
      </c>
      <c r="G29" t="s">
        <v>19</v>
      </c>
      <c r="H29" t="s">
        <v>670</v>
      </c>
      <c r="I29">
        <v>4</v>
      </c>
      <c r="L29" t="s">
        <v>19</v>
      </c>
      <c r="M29" t="s">
        <v>670</v>
      </c>
      <c r="N29">
        <v>204.8</v>
      </c>
    </row>
    <row r="30" spans="1:14" x14ac:dyDescent="0.3">
      <c r="A30" t="s">
        <v>19</v>
      </c>
      <c r="B30" t="s">
        <v>802</v>
      </c>
      <c r="C30" s="13">
        <v>31</v>
      </c>
      <c r="D30" s="13">
        <v>1607.8999999999999</v>
      </c>
      <c r="G30" t="s">
        <v>19</v>
      </c>
      <c r="H30" t="s">
        <v>802</v>
      </c>
      <c r="I30">
        <v>31</v>
      </c>
      <c r="L30" t="s">
        <v>19</v>
      </c>
      <c r="M30" t="s">
        <v>802</v>
      </c>
      <c r="N30">
        <v>1607.8999999999999</v>
      </c>
    </row>
    <row r="31" spans="1:14" x14ac:dyDescent="0.3">
      <c r="A31" t="s">
        <v>19</v>
      </c>
      <c r="B31" t="s">
        <v>98</v>
      </c>
      <c r="C31" s="13">
        <v>88</v>
      </c>
      <c r="D31" s="13">
        <v>6444.9</v>
      </c>
      <c r="G31" t="s">
        <v>19</v>
      </c>
      <c r="H31" t="s">
        <v>98</v>
      </c>
      <c r="I31">
        <v>88</v>
      </c>
      <c r="L31" t="s">
        <v>19</v>
      </c>
      <c r="M31" t="s">
        <v>98</v>
      </c>
      <c r="N31">
        <v>6444.9</v>
      </c>
    </row>
    <row r="32" spans="1:14" x14ac:dyDescent="0.3">
      <c r="A32" t="s">
        <v>19</v>
      </c>
      <c r="B32" t="s">
        <v>49</v>
      </c>
      <c r="C32" s="13">
        <v>25</v>
      </c>
      <c r="D32" s="13">
        <v>1809.3</v>
      </c>
      <c r="G32" t="s">
        <v>19</v>
      </c>
      <c r="H32" t="s">
        <v>49</v>
      </c>
      <c r="I32">
        <v>25</v>
      </c>
      <c r="L32" t="s">
        <v>19</v>
      </c>
      <c r="M32" t="s">
        <v>49</v>
      </c>
      <c r="N32">
        <v>1809.3</v>
      </c>
    </row>
    <row r="33" spans="1:14" x14ac:dyDescent="0.3">
      <c r="A33" t="s">
        <v>19</v>
      </c>
      <c r="B33" t="s">
        <v>188</v>
      </c>
      <c r="C33" s="13">
        <v>178</v>
      </c>
      <c r="D33" s="13">
        <v>9680.399999999996</v>
      </c>
      <c r="G33" t="s">
        <v>19</v>
      </c>
      <c r="H33" t="s">
        <v>188</v>
      </c>
      <c r="I33">
        <v>178</v>
      </c>
      <c r="L33" t="s">
        <v>19</v>
      </c>
      <c r="M33" t="s">
        <v>188</v>
      </c>
      <c r="N33">
        <v>9680.399999999996</v>
      </c>
    </row>
    <row r="34" spans="1:14" x14ac:dyDescent="0.3">
      <c r="A34" t="s">
        <v>19</v>
      </c>
      <c r="B34" t="s">
        <v>52</v>
      </c>
      <c r="C34" s="13">
        <v>141</v>
      </c>
      <c r="D34" s="13">
        <v>9414.7999999999993</v>
      </c>
      <c r="G34" t="s">
        <v>19</v>
      </c>
      <c r="H34" t="s">
        <v>52</v>
      </c>
      <c r="I34">
        <v>141</v>
      </c>
      <c r="L34" t="s">
        <v>19</v>
      </c>
      <c r="M34" t="s">
        <v>52</v>
      </c>
      <c r="N34">
        <v>9414.7999999999993</v>
      </c>
    </row>
    <row r="35" spans="1:14" x14ac:dyDescent="0.3">
      <c r="A35" t="s">
        <v>19</v>
      </c>
      <c r="B35" t="s">
        <v>338</v>
      </c>
      <c r="C35" s="13">
        <v>6</v>
      </c>
      <c r="D35" s="13">
        <v>206.1</v>
      </c>
      <c r="G35" t="s">
        <v>19</v>
      </c>
      <c r="H35" t="s">
        <v>338</v>
      </c>
      <c r="I35">
        <v>6</v>
      </c>
      <c r="L35" t="s">
        <v>19</v>
      </c>
      <c r="M35" t="s">
        <v>338</v>
      </c>
      <c r="N35">
        <v>206.1</v>
      </c>
    </row>
    <row r="36" spans="1:14" x14ac:dyDescent="0.3">
      <c r="A36" t="s">
        <v>19</v>
      </c>
      <c r="B36" t="s">
        <v>158</v>
      </c>
      <c r="C36" s="13">
        <v>178</v>
      </c>
      <c r="D36" s="13">
        <v>7691.3</v>
      </c>
      <c r="G36" t="s">
        <v>19</v>
      </c>
      <c r="H36" t="s">
        <v>158</v>
      </c>
      <c r="I36">
        <v>178</v>
      </c>
      <c r="L36" t="s">
        <v>19</v>
      </c>
      <c r="M36" t="s">
        <v>158</v>
      </c>
      <c r="N36">
        <v>7691.3</v>
      </c>
    </row>
    <row r="37" spans="1:14" x14ac:dyDescent="0.3">
      <c r="A37" t="s">
        <v>19</v>
      </c>
      <c r="B37" t="s">
        <v>55</v>
      </c>
      <c r="C37" s="13">
        <v>699</v>
      </c>
      <c r="D37" s="13">
        <v>37784.900000000016</v>
      </c>
      <c r="G37" t="s">
        <v>19</v>
      </c>
      <c r="H37" t="s">
        <v>55</v>
      </c>
      <c r="I37">
        <v>699</v>
      </c>
      <c r="L37" t="s">
        <v>19</v>
      </c>
      <c r="M37" t="s">
        <v>55</v>
      </c>
      <c r="N37">
        <v>37784.900000000016</v>
      </c>
    </row>
    <row r="38" spans="1:14" x14ac:dyDescent="0.3">
      <c r="A38" t="s">
        <v>19</v>
      </c>
      <c r="B38" t="s">
        <v>342</v>
      </c>
      <c r="C38" s="13">
        <v>23</v>
      </c>
      <c r="D38" s="13">
        <v>1129.7</v>
      </c>
      <c r="G38" t="s">
        <v>19</v>
      </c>
      <c r="H38" t="s">
        <v>342</v>
      </c>
      <c r="I38">
        <v>23</v>
      </c>
      <c r="L38" t="s">
        <v>19</v>
      </c>
      <c r="M38" t="s">
        <v>342</v>
      </c>
      <c r="N38">
        <v>1129.7</v>
      </c>
    </row>
    <row r="39" spans="1:14" x14ac:dyDescent="0.3">
      <c r="A39" t="s">
        <v>19</v>
      </c>
      <c r="B39" t="s">
        <v>59</v>
      </c>
      <c r="C39" s="13">
        <v>356</v>
      </c>
      <c r="D39" s="13">
        <v>20988.9</v>
      </c>
      <c r="G39" t="s">
        <v>19</v>
      </c>
      <c r="H39" t="s">
        <v>59</v>
      </c>
      <c r="I39">
        <v>356</v>
      </c>
      <c r="L39" t="s">
        <v>19</v>
      </c>
      <c r="M39" t="s">
        <v>59</v>
      </c>
      <c r="N39">
        <v>20988.9</v>
      </c>
    </row>
    <row r="40" spans="1:14" x14ac:dyDescent="0.3">
      <c r="A40" t="s">
        <v>19</v>
      </c>
      <c r="B40" t="s">
        <v>62</v>
      </c>
      <c r="C40" s="13">
        <v>1768</v>
      </c>
      <c r="D40" s="13">
        <v>98367.099999999977</v>
      </c>
      <c r="G40" t="s">
        <v>19</v>
      </c>
      <c r="H40" t="s">
        <v>62</v>
      </c>
      <c r="I40">
        <v>1768</v>
      </c>
      <c r="L40" t="s">
        <v>19</v>
      </c>
      <c r="M40" t="s">
        <v>62</v>
      </c>
      <c r="N40">
        <v>98367.099999999977</v>
      </c>
    </row>
    <row r="41" spans="1:14" x14ac:dyDescent="0.3">
      <c r="A41" t="s">
        <v>19</v>
      </c>
      <c r="B41" t="s">
        <v>103</v>
      </c>
      <c r="C41" s="13">
        <v>307</v>
      </c>
      <c r="D41" s="13">
        <v>21911.9</v>
      </c>
      <c r="G41" t="s">
        <v>19</v>
      </c>
      <c r="H41" t="s">
        <v>103</v>
      </c>
      <c r="I41">
        <v>307</v>
      </c>
      <c r="L41" t="s">
        <v>19</v>
      </c>
      <c r="M41" t="s">
        <v>103</v>
      </c>
      <c r="N41">
        <v>21911.9</v>
      </c>
    </row>
    <row r="42" spans="1:14" x14ac:dyDescent="0.3">
      <c r="A42" t="s">
        <v>19</v>
      </c>
      <c r="B42" t="s">
        <v>201</v>
      </c>
      <c r="C42" s="13">
        <v>117</v>
      </c>
      <c r="D42" s="13">
        <v>5441.2</v>
      </c>
      <c r="G42" t="s">
        <v>19</v>
      </c>
      <c r="H42" t="s">
        <v>201</v>
      </c>
      <c r="I42">
        <v>117</v>
      </c>
      <c r="L42" t="s">
        <v>19</v>
      </c>
      <c r="M42" t="s">
        <v>201</v>
      </c>
      <c r="N42">
        <v>5441.2</v>
      </c>
    </row>
    <row r="43" spans="1:14" x14ac:dyDescent="0.3">
      <c r="A43" t="s">
        <v>19</v>
      </c>
      <c r="B43" t="s">
        <v>429</v>
      </c>
      <c r="C43" s="13">
        <v>13</v>
      </c>
      <c r="D43" s="13">
        <v>392.8</v>
      </c>
      <c r="G43" t="s">
        <v>19</v>
      </c>
      <c r="H43" t="s">
        <v>429</v>
      </c>
      <c r="I43">
        <v>13</v>
      </c>
      <c r="L43" t="s">
        <v>19</v>
      </c>
      <c r="M43" t="s">
        <v>429</v>
      </c>
      <c r="N43">
        <v>392.8</v>
      </c>
    </row>
    <row r="44" spans="1:14" x14ac:dyDescent="0.3">
      <c r="A44" t="s">
        <v>19</v>
      </c>
      <c r="B44" t="s">
        <v>72</v>
      </c>
      <c r="C44" s="13">
        <v>364</v>
      </c>
      <c r="D44" s="13">
        <v>16172.000000000005</v>
      </c>
      <c r="G44" t="s">
        <v>19</v>
      </c>
      <c r="H44" t="s">
        <v>72</v>
      </c>
      <c r="I44">
        <v>364</v>
      </c>
      <c r="L44" t="s">
        <v>19</v>
      </c>
      <c r="M44" t="s">
        <v>72</v>
      </c>
      <c r="N44">
        <v>16172.000000000005</v>
      </c>
    </row>
    <row r="45" spans="1:14" x14ac:dyDescent="0.3">
      <c r="A45" t="s">
        <v>19</v>
      </c>
      <c r="B45" t="s">
        <v>74</v>
      </c>
      <c r="C45" s="13">
        <v>95</v>
      </c>
      <c r="D45" s="13">
        <v>4334.9999999999991</v>
      </c>
      <c r="G45" t="s">
        <v>19</v>
      </c>
      <c r="H45" t="s">
        <v>74</v>
      </c>
      <c r="I45">
        <v>95</v>
      </c>
      <c r="L45" t="s">
        <v>19</v>
      </c>
      <c r="M45" t="s">
        <v>74</v>
      </c>
      <c r="N45">
        <v>4334.9999999999991</v>
      </c>
    </row>
    <row r="46" spans="1:14" x14ac:dyDescent="0.3">
      <c r="A46" t="s">
        <v>19</v>
      </c>
      <c r="B46" t="s">
        <v>77</v>
      </c>
      <c r="C46" s="13">
        <v>737</v>
      </c>
      <c r="D46" s="13">
        <v>37449.000000000007</v>
      </c>
      <c r="G46" t="s">
        <v>19</v>
      </c>
      <c r="H46" t="s">
        <v>77</v>
      </c>
      <c r="I46">
        <v>737</v>
      </c>
      <c r="L46" t="s">
        <v>19</v>
      </c>
      <c r="M46" t="s">
        <v>77</v>
      </c>
      <c r="N46">
        <v>37449.000000000007</v>
      </c>
    </row>
    <row r="47" spans="1:14" x14ac:dyDescent="0.3">
      <c r="A47" t="s">
        <v>19</v>
      </c>
      <c r="B47" t="s">
        <v>309</v>
      </c>
      <c r="C47" s="13">
        <v>39</v>
      </c>
      <c r="D47" s="13">
        <v>2447.5</v>
      </c>
      <c r="G47" t="s">
        <v>19</v>
      </c>
      <c r="H47" t="s">
        <v>309</v>
      </c>
      <c r="I47">
        <v>39</v>
      </c>
      <c r="L47" t="s">
        <v>19</v>
      </c>
      <c r="M47" t="s">
        <v>309</v>
      </c>
      <c r="N47">
        <v>2447.5</v>
      </c>
    </row>
    <row r="48" spans="1:14" x14ac:dyDescent="0.3">
      <c r="A48" t="s">
        <v>19</v>
      </c>
      <c r="B48" t="s">
        <v>1116</v>
      </c>
      <c r="C48" s="13">
        <v>56</v>
      </c>
      <c r="D48" s="13">
        <v>3391.1</v>
      </c>
      <c r="G48" t="s">
        <v>19</v>
      </c>
      <c r="H48" t="s">
        <v>1116</v>
      </c>
      <c r="I48">
        <v>56</v>
      </c>
      <c r="L48" t="s">
        <v>19</v>
      </c>
      <c r="M48" t="s">
        <v>1116</v>
      </c>
      <c r="N48">
        <v>3391.1</v>
      </c>
    </row>
    <row r="49" spans="1:14" x14ac:dyDescent="0.3">
      <c r="A49" t="s">
        <v>19</v>
      </c>
      <c r="B49" t="s">
        <v>700</v>
      </c>
      <c r="C49" s="13">
        <v>2</v>
      </c>
      <c r="D49" s="13">
        <v>30.8</v>
      </c>
      <c r="G49" t="s">
        <v>19</v>
      </c>
      <c r="H49" t="s">
        <v>700</v>
      </c>
      <c r="I49">
        <v>2</v>
      </c>
      <c r="L49" t="s">
        <v>19</v>
      </c>
      <c r="M49" t="s">
        <v>700</v>
      </c>
      <c r="N49">
        <v>30.8</v>
      </c>
    </row>
    <row r="50" spans="1:14" x14ac:dyDescent="0.3">
      <c r="A50" t="s">
        <v>19</v>
      </c>
      <c r="B50" t="s">
        <v>268</v>
      </c>
      <c r="C50" s="13">
        <v>8</v>
      </c>
      <c r="D50" s="13">
        <v>332.3</v>
      </c>
      <c r="G50" t="s">
        <v>19</v>
      </c>
      <c r="H50" t="s">
        <v>268</v>
      </c>
      <c r="I50">
        <v>8</v>
      </c>
      <c r="L50" t="s">
        <v>19</v>
      </c>
      <c r="M50" t="s">
        <v>268</v>
      </c>
      <c r="N50">
        <v>332.3</v>
      </c>
    </row>
    <row r="51" spans="1:14" x14ac:dyDescent="0.3">
      <c r="A51" t="s">
        <v>19</v>
      </c>
      <c r="B51" t="s">
        <v>377</v>
      </c>
      <c r="C51" s="13">
        <v>52</v>
      </c>
      <c r="D51" s="13">
        <v>3175.9999999999995</v>
      </c>
      <c r="G51" t="s">
        <v>19</v>
      </c>
      <c r="H51" t="s">
        <v>377</v>
      </c>
      <c r="I51">
        <v>52</v>
      </c>
      <c r="L51" t="s">
        <v>19</v>
      </c>
      <c r="M51" t="s">
        <v>377</v>
      </c>
      <c r="N51">
        <v>3175.9999999999995</v>
      </c>
    </row>
    <row r="52" spans="1:14" x14ac:dyDescent="0.3">
      <c r="A52" t="s">
        <v>19</v>
      </c>
      <c r="B52" t="s">
        <v>108</v>
      </c>
      <c r="C52" s="13">
        <v>295</v>
      </c>
      <c r="D52" s="13">
        <v>20939.600000000002</v>
      </c>
      <c r="G52" t="s">
        <v>19</v>
      </c>
      <c r="H52" t="s">
        <v>108</v>
      </c>
      <c r="I52">
        <v>295</v>
      </c>
      <c r="L52" t="s">
        <v>19</v>
      </c>
      <c r="M52" t="s">
        <v>108</v>
      </c>
      <c r="N52">
        <v>20939.600000000002</v>
      </c>
    </row>
    <row r="53" spans="1:14" x14ac:dyDescent="0.3">
      <c r="A53" t="s">
        <v>19</v>
      </c>
      <c r="B53" t="s">
        <v>110</v>
      </c>
      <c r="C53" s="13">
        <v>195</v>
      </c>
      <c r="D53" s="13">
        <v>10185.899999999996</v>
      </c>
      <c r="G53" t="s">
        <v>19</v>
      </c>
      <c r="H53" t="s">
        <v>110</v>
      </c>
      <c r="I53">
        <v>195</v>
      </c>
      <c r="L53" t="s">
        <v>19</v>
      </c>
      <c r="M53" t="s">
        <v>110</v>
      </c>
      <c r="N53">
        <v>10185.899999999996</v>
      </c>
    </row>
    <row r="54" spans="1:14" x14ac:dyDescent="0.3">
      <c r="A54" t="s">
        <v>19</v>
      </c>
      <c r="B54" t="s">
        <v>292</v>
      </c>
      <c r="C54" s="13">
        <v>20</v>
      </c>
      <c r="D54" s="13">
        <v>958.7</v>
      </c>
      <c r="G54" t="s">
        <v>19</v>
      </c>
      <c r="H54" t="s">
        <v>292</v>
      </c>
      <c r="I54">
        <v>20</v>
      </c>
      <c r="L54" t="s">
        <v>19</v>
      </c>
      <c r="M54" t="s">
        <v>292</v>
      </c>
      <c r="N54">
        <v>958.7</v>
      </c>
    </row>
    <row r="55" spans="1:14" x14ac:dyDescent="0.3">
      <c r="A55" t="s">
        <v>19</v>
      </c>
      <c r="B55" t="s">
        <v>79</v>
      </c>
      <c r="C55" s="13">
        <v>6</v>
      </c>
      <c r="D55" s="13">
        <v>323</v>
      </c>
      <c r="G55" t="s">
        <v>19</v>
      </c>
      <c r="H55" t="s">
        <v>79</v>
      </c>
      <c r="I55">
        <v>6</v>
      </c>
      <c r="L55" t="s">
        <v>19</v>
      </c>
      <c r="M55" t="s">
        <v>79</v>
      </c>
      <c r="N55">
        <v>323</v>
      </c>
    </row>
    <row r="56" spans="1:14" x14ac:dyDescent="0.3">
      <c r="A56" t="s">
        <v>19</v>
      </c>
      <c r="B56" t="s">
        <v>608</v>
      </c>
      <c r="C56" s="13">
        <v>5</v>
      </c>
      <c r="D56" s="13">
        <v>167.70000000000002</v>
      </c>
      <c r="G56" t="s">
        <v>19</v>
      </c>
      <c r="H56" t="s">
        <v>608</v>
      </c>
      <c r="I56">
        <v>5</v>
      </c>
      <c r="L56" t="s">
        <v>19</v>
      </c>
      <c r="M56" t="s">
        <v>608</v>
      </c>
      <c r="N56">
        <v>167.70000000000002</v>
      </c>
    </row>
    <row r="57" spans="1:14" x14ac:dyDescent="0.3">
      <c r="A57" t="s">
        <v>19</v>
      </c>
      <c r="B57" t="s">
        <v>113</v>
      </c>
      <c r="C57" s="13">
        <v>94</v>
      </c>
      <c r="D57" s="13">
        <v>3978.5</v>
      </c>
      <c r="G57" t="s">
        <v>19</v>
      </c>
      <c r="H57" t="s">
        <v>113</v>
      </c>
      <c r="I57">
        <v>94</v>
      </c>
      <c r="L57" t="s">
        <v>19</v>
      </c>
      <c r="M57" t="s">
        <v>113</v>
      </c>
      <c r="N57">
        <v>3978.5</v>
      </c>
    </row>
    <row r="58" spans="1:14" x14ac:dyDescent="0.3">
      <c r="A58" t="s">
        <v>19</v>
      </c>
      <c r="B58" t="s">
        <v>997</v>
      </c>
      <c r="C58" s="13">
        <v>28</v>
      </c>
      <c r="D58" s="13">
        <v>1405</v>
      </c>
      <c r="G58" t="s">
        <v>19</v>
      </c>
      <c r="H58" t="s">
        <v>997</v>
      </c>
      <c r="I58">
        <v>28</v>
      </c>
      <c r="L58" t="s">
        <v>19</v>
      </c>
      <c r="M58" t="s">
        <v>997</v>
      </c>
      <c r="N58">
        <v>1405</v>
      </c>
    </row>
    <row r="59" spans="1:14" x14ac:dyDescent="0.3">
      <c r="A59" t="s">
        <v>19</v>
      </c>
      <c r="B59" t="s">
        <v>82</v>
      </c>
      <c r="C59" s="13">
        <v>179</v>
      </c>
      <c r="D59" s="13">
        <v>9869.0999999999985</v>
      </c>
      <c r="G59" t="s">
        <v>19</v>
      </c>
      <c r="H59" t="s">
        <v>82</v>
      </c>
      <c r="I59">
        <v>179</v>
      </c>
      <c r="L59" t="s">
        <v>19</v>
      </c>
      <c r="M59" t="s">
        <v>82</v>
      </c>
      <c r="N59">
        <v>9869.0999999999985</v>
      </c>
    </row>
    <row r="60" spans="1:14" x14ac:dyDescent="0.3">
      <c r="A60" t="s">
        <v>19</v>
      </c>
      <c r="B60" t="s">
        <v>243</v>
      </c>
      <c r="C60" s="13">
        <v>15</v>
      </c>
      <c r="D60" s="13">
        <v>615.29999999999995</v>
      </c>
      <c r="G60" t="s">
        <v>19</v>
      </c>
      <c r="H60" t="s">
        <v>243</v>
      </c>
      <c r="I60">
        <v>15</v>
      </c>
      <c r="L60" t="s">
        <v>19</v>
      </c>
      <c r="M60" t="s">
        <v>243</v>
      </c>
      <c r="N60">
        <v>615.29999999999995</v>
      </c>
    </row>
    <row r="61" spans="1:14" x14ac:dyDescent="0.3">
      <c r="A61" t="s">
        <v>19</v>
      </c>
      <c r="B61" t="s">
        <v>1911</v>
      </c>
      <c r="C61" s="13">
        <v>3</v>
      </c>
      <c r="D61" s="13">
        <v>285</v>
      </c>
      <c r="G61" t="s">
        <v>19</v>
      </c>
      <c r="H61" t="s">
        <v>1911</v>
      </c>
      <c r="I61">
        <v>3</v>
      </c>
      <c r="L61" t="s">
        <v>19</v>
      </c>
      <c r="M61" t="s">
        <v>1911</v>
      </c>
      <c r="N61">
        <v>285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D8" sqref="D8"/>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s="12" t="s">
        <v>0</v>
      </c>
      <c r="B1" s="12" t="s">
        <v>1</v>
      </c>
      <c r="C1" s="12" t="s">
        <v>2</v>
      </c>
      <c r="D1" s="12" t="s">
        <v>3</v>
      </c>
      <c r="E1" s="12" t="s">
        <v>4</v>
      </c>
      <c r="F1" s="12" t="s">
        <v>5</v>
      </c>
      <c r="G1" s="12" t="s">
        <v>6</v>
      </c>
      <c r="H1" s="12" t="s">
        <v>7</v>
      </c>
      <c r="I1" s="12" t="s">
        <v>8</v>
      </c>
      <c r="J1" s="12" t="s">
        <v>9</v>
      </c>
      <c r="K1" s="12" t="s">
        <v>10</v>
      </c>
      <c r="L1" s="12"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E9" sqref="E9"/>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workbookViewId="0">
      <selection activeCell="AE6" sqref="AE6"/>
    </sheetView>
  </sheetViews>
  <sheetFormatPr defaultRowHeight="14.4" x14ac:dyDescent="0.3"/>
  <cols>
    <col min="1" max="1" width="3.33203125" customWidth="1"/>
    <col min="2" max="2" width="22.21875" customWidth="1"/>
    <col min="3" max="4" width="3.33203125" customWidth="1"/>
    <col min="26" max="26" width="3.33203125" customWidth="1"/>
  </cols>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2:H24"/>
  <sheetViews>
    <sheetView topLeftCell="A4" workbookViewId="0">
      <selection activeCell="H4" sqref="H4"/>
    </sheetView>
  </sheetViews>
  <sheetFormatPr defaultRowHeight="14.4" x14ac:dyDescent="0.3"/>
  <cols>
    <col min="1" max="1" width="3.33203125" customWidth="1"/>
    <col min="8" max="8" width="37.33203125" customWidth="1"/>
  </cols>
  <sheetData>
    <row r="2" spans="2:8" x14ac:dyDescent="0.3">
      <c r="H2" t="s">
        <v>2548</v>
      </c>
    </row>
    <row r="3" spans="2:8" x14ac:dyDescent="0.3">
      <c r="B3" t="s">
        <v>2518</v>
      </c>
    </row>
    <row r="4" spans="2:8" x14ac:dyDescent="0.3">
      <c r="H4" s="11"/>
    </row>
    <row r="5" spans="2:8" x14ac:dyDescent="0.3">
      <c r="B5" t="s">
        <v>2519</v>
      </c>
      <c r="H5" s="11"/>
    </row>
    <row r="6" spans="2:8" x14ac:dyDescent="0.3">
      <c r="B6" s="5"/>
      <c r="C6" t="s">
        <v>2520</v>
      </c>
      <c r="D6" t="s">
        <v>2526</v>
      </c>
    </row>
    <row r="7" spans="2:8" x14ac:dyDescent="0.3">
      <c r="B7" s="6"/>
      <c r="C7" t="s">
        <v>2521</v>
      </c>
      <c r="D7" t="s">
        <v>2527</v>
      </c>
    </row>
    <row r="8" spans="2:8" x14ac:dyDescent="0.3">
      <c r="B8" s="7"/>
      <c r="C8" t="s">
        <v>2522</v>
      </c>
      <c r="D8" t="s">
        <v>2528</v>
      </c>
    </row>
    <row r="9" spans="2:8" x14ac:dyDescent="0.3">
      <c r="B9" s="8"/>
      <c r="C9" t="s">
        <v>2523</v>
      </c>
      <c r="D9" t="s">
        <v>2529</v>
      </c>
    </row>
    <row r="10" spans="2:8" x14ac:dyDescent="0.3">
      <c r="B10" s="9"/>
      <c r="C10" t="s">
        <v>2524</v>
      </c>
      <c r="D10" t="s">
        <v>2530</v>
      </c>
    </row>
    <row r="11" spans="2:8" x14ac:dyDescent="0.3">
      <c r="B11" s="2"/>
      <c r="C11" t="s">
        <v>2525</v>
      </c>
      <c r="D11" t="s">
        <v>2531</v>
      </c>
    </row>
    <row r="13" spans="2:8" x14ac:dyDescent="0.3">
      <c r="B13" t="s">
        <v>2532</v>
      </c>
    </row>
    <row r="14" spans="2:8" x14ac:dyDescent="0.3">
      <c r="B14" t="s">
        <v>2533</v>
      </c>
      <c r="C14" t="s">
        <v>2538</v>
      </c>
    </row>
    <row r="15" spans="2:8" x14ac:dyDescent="0.3">
      <c r="B15" t="s">
        <v>2534</v>
      </c>
      <c r="C15" t="s">
        <v>2</v>
      </c>
    </row>
    <row r="16" spans="2:8" x14ac:dyDescent="0.3">
      <c r="B16" t="s">
        <v>2535</v>
      </c>
      <c r="C16" t="s">
        <v>4</v>
      </c>
    </row>
    <row r="17" spans="2:3" x14ac:dyDescent="0.3">
      <c r="B17" t="s">
        <v>2536</v>
      </c>
      <c r="C17" t="s">
        <v>2539</v>
      </c>
    </row>
    <row r="18" spans="2:3" x14ac:dyDescent="0.3">
      <c r="B18" t="s">
        <v>2537</v>
      </c>
      <c r="C18" t="s">
        <v>2540</v>
      </c>
    </row>
    <row r="21" spans="2:3" x14ac:dyDescent="0.3">
      <c r="B21" t="s">
        <v>2541</v>
      </c>
    </row>
    <row r="22" spans="2:3" x14ac:dyDescent="0.3">
      <c r="B22" t="s">
        <v>2542</v>
      </c>
      <c r="C22" t="s">
        <v>2543</v>
      </c>
    </row>
    <row r="23" spans="2:3" x14ac:dyDescent="0.3">
      <c r="B23" t="s">
        <v>2544</v>
      </c>
      <c r="C23" t="s">
        <v>2545</v>
      </c>
    </row>
    <row r="24" spans="2:3" x14ac:dyDescent="0.3">
      <c r="B24" s="10" t="s">
        <v>2546</v>
      </c>
      <c r="C24" t="s">
        <v>2547</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Pivots</vt:lpstr>
      <vt:lpstr>DashboardDisplay</vt:lpstr>
      <vt:lpstr>Pivots2</vt:lpstr>
      <vt:lpstr>Pivots3</vt:lpstr>
      <vt:lpstr>Pivots4</vt:lpstr>
      <vt:lpstr>Pivots6</vt:lpstr>
      <vt:lpstr>Pivots7</vt:lpstr>
      <vt:lpstr>Pivots5</vt:lpstr>
      <vt:lpstr>Data</vt:lpstr>
      <vt:lpstr>Questions &amp; KPIs</vt:lpstr>
      <vt:lpstr>Dashboard</vt:lpstr>
      <vt:lpstr>Logo &amp; Colors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Lakshmi Sravanthi Mattaparthi</cp:lastModifiedBy>
  <dcterms:created xsi:type="dcterms:W3CDTF">2025-06-13T02:42:26Z</dcterms:created>
  <dcterms:modified xsi:type="dcterms:W3CDTF">2026-02-12T04:51:03Z</dcterms:modified>
</cp:coreProperties>
</file>